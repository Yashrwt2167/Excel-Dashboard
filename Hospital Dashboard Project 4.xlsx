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defaultThemeVersion="166925"/>
  <mc:AlternateContent xmlns:mc="http://schemas.openxmlformats.org/markup-compatibility/2006">
    <mc:Choice Requires="x15">
      <x15ac:absPath xmlns:x15ac="http://schemas.microsoft.com/office/spreadsheetml/2010/11/ac" url="D:\Data analytics\excel\Project 4\"/>
    </mc:Choice>
  </mc:AlternateContent>
  <xr:revisionPtr revIDLastSave="0" documentId="13_ncr:1_{F9299F84-1A3E-48CB-8E4E-13A4FD0185DC}" xr6:coauthVersionLast="47" xr6:coauthVersionMax="47" xr10:uidLastSave="{00000000-0000-0000-0000-000000000000}"/>
  <bookViews>
    <workbookView xWindow="-110" yWindow="-110" windowWidth="19420" windowHeight="10300" activeTab="1" xr2:uid="{E3A74059-93C9-4D0A-BD8C-96DDE7EF9D44}"/>
  </bookViews>
  <sheets>
    <sheet name="Pivot Report" sheetId="2" r:id="rId1"/>
    <sheet name="Dashboard" sheetId="1" r:id="rId2"/>
    <sheet name="Satisfaction Score" sheetId="6" r:id="rId3"/>
    <sheet name="Average Wait Time Daily Trend" sheetId="5" r:id="rId4"/>
    <sheet name="Daily ER No of patient" sheetId="4" r:id="rId5"/>
  </sheets>
  <definedNames>
    <definedName name="Slicer_Date__Month">#N/A</definedName>
    <definedName name="Slicer_Date__Year">#N/A</definedName>
  </definedNames>
  <calcPr calcId="191029"/>
  <pivotCaches>
    <pivotCache cacheId="123" r:id="rId6"/>
    <pivotCache cacheId="126" r:id="rId7"/>
    <pivotCache cacheId="129" r:id="rId8"/>
    <pivotCache cacheId="132" r:id="rId9"/>
    <pivotCache cacheId="135" r:id="rId10"/>
    <pivotCache cacheId="138" r:id="rId11"/>
    <pivotCache cacheId="141" r:id="rId12"/>
    <pivotCache cacheId="144" r:id="rId13"/>
    <pivotCache cacheId="147" r:id="rId14"/>
    <pivotCache cacheId="150" r:id="rId15"/>
    <pivotCache cacheId="153" r:id="rId16"/>
    <pivotCache cacheId="156"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dda73ede-22ab-4af9-ba8b-80316478ba2d" name="Hospital Emergency Room Data" connection="Query - Hospital Emergency Room Data"/>
          <x15:modelTable id="Calendar_Date_2d89d3f8-990b-4be6-a17e-fb6eb5a06961" name="Calendar_Date" connection="Query - Calendar_Date"/>
        </x15:modelTables>
        <x15:modelRelationships>
          <x15:modelRelationship fromTable="Hospital Emergency Room Data" fromColumn="Patient Admission Date.1" toTable="Calendar_Date" toColumn="Date"/>
        </x15:modelRelationships>
        <x15:extLst>
          <ext xmlns:x16="http://schemas.microsoft.com/office/spreadsheetml/2014/11/main" uri="{9835A34E-60A6-4A7C-AAB8-D5F71C897F49}">
            <x16:modelTimeGroupings>
              <x16:modelTimeGrouping tableName="Calendar_Dat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 tableName="Hospital Emergency Room Data" columnName="Patient Admission Date.1" columnId="Patient Admission Date1">
                <x16:calculatedTimeColumn columnName="Patient Admission Date.1 (Year)" columnId="Patient Admission Date 1 (Year)" contentType="years" isSelected="1"/>
                <x16:calculatedTimeColumn columnName="Patient Admission Date.1 (Quarter)" columnId="Patient Admission Date 1 (Quarter)" contentType="quarters" isSelected="1"/>
                <x16:calculatedTimeColumn columnName="Patient Admission Date.1 (Month Index)" columnId="Patient Admission Date 1 (Month Index)" contentType="monthsindex" isSelected="1"/>
                <x16:calculatedTimeColumn columnName="Patient Admission Date.1 (Month)" columnId="Patient Admission Date 1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9" i="2" l="1"/>
  <c r="D60" i="2"/>
  <c r="C59" i="2"/>
  <c r="C60" i="2"/>
  <c r="B59" i="2"/>
  <c r="B60"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7C3A059-9F77-4AEE-9167-8442AD55412B}" name="Query - Calendar_Date" description="Connection to the 'Calendar_Date' query in the workbook." type="100" refreshedVersion="8" minRefreshableVersion="5">
    <extLst>
      <ext xmlns:x15="http://schemas.microsoft.com/office/spreadsheetml/2010/11/main" uri="{DE250136-89BD-433C-8126-D09CA5730AF9}">
        <x15:connection id="abf6793f-b303-43ae-ae1a-e1297c5babba"/>
      </ext>
    </extLst>
  </connection>
  <connection id="2" xr16:uid="{37E3AFCE-8BAA-4B6D-80E1-25FF715FF123}"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06aa7318-8f04-4659-b3e9-f46d8c4931d4"/>
      </ext>
    </extLst>
  </connection>
  <connection id="3" xr16:uid="{D4532811-3E01-41CD-B409-01D1EA9E27FE}"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<sst xmlns="http://schemas.openxmlformats.org/spreadsheetml/2006/main" count="90" uniqueCount="53">
  <si>
    <t>Row Labels</t>
  </si>
  <si>
    <t>Grand Total</t>
  </si>
  <si>
    <t>Distinct Count of Patient Id</t>
  </si>
  <si>
    <t>Average of Patient Waittime</t>
  </si>
  <si>
    <t>Average of Patient Satisfaction Score</t>
  </si>
  <si>
    <t>daily Trends of no of patient</t>
  </si>
  <si>
    <t>avarage wait time</t>
  </si>
  <si>
    <t>Satisfaction Score</t>
  </si>
  <si>
    <t>Count of Patient Admission Flag</t>
  </si>
  <si>
    <t>Admitted</t>
  </si>
  <si>
    <t>Not Admitted</t>
  </si>
  <si>
    <t>Count of Patient Admission Flag2</t>
  </si>
  <si>
    <t>Admission Status</t>
  </si>
  <si>
    <t xml:space="preserve">No of Patient </t>
  </si>
  <si>
    <t>% of Total</t>
  </si>
  <si>
    <t>Count of Age Group</t>
  </si>
  <si>
    <t>0-9</t>
  </si>
  <si>
    <t>10-19</t>
  </si>
  <si>
    <t>20-29</t>
  </si>
  <si>
    <t>30-39</t>
  </si>
  <si>
    <t>40-49</t>
  </si>
  <si>
    <t>50-59</t>
  </si>
  <si>
    <t>60-69</t>
  </si>
  <si>
    <t>70-79</t>
  </si>
  <si>
    <t>Age group wise Analysis</t>
  </si>
  <si>
    <t>On time</t>
  </si>
  <si>
    <t>Delay</t>
  </si>
  <si>
    <t>Count of Patient attend Status</t>
  </si>
  <si>
    <t xml:space="preserve">Patient Attended Within Time </t>
  </si>
  <si>
    <t>Female</t>
  </si>
  <si>
    <t>Male</t>
  </si>
  <si>
    <t>Count of Patient Gender</t>
  </si>
  <si>
    <t>Gender Wise Analysis</t>
  </si>
  <si>
    <t>Cardiology</t>
  </si>
  <si>
    <t>Gastroenterology</t>
  </si>
  <si>
    <t>General Practice</t>
  </si>
  <si>
    <t>Neurology</t>
  </si>
  <si>
    <t>None</t>
  </si>
  <si>
    <t>Orthopedics</t>
  </si>
  <si>
    <t>Physiotherapy</t>
  </si>
  <si>
    <t>Renal</t>
  </si>
  <si>
    <t>Count of Department Referral</t>
  </si>
  <si>
    <t>No. of Patient by Department Referral</t>
  </si>
  <si>
    <t>2023</t>
  </si>
  <si>
    <t>4-Jan</t>
  </si>
  <si>
    <t>5-Jan</t>
  </si>
  <si>
    <t>6-Jan</t>
  </si>
  <si>
    <t>7-Jan</t>
  </si>
  <si>
    <t>8-Jan</t>
  </si>
  <si>
    <t>9-Jan</t>
  </si>
  <si>
    <t>10-Jan</t>
  </si>
  <si>
    <t>11-Jan</t>
  </si>
  <si>
    <t>12-Jan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</si>
</sst>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b/>
      <sz val="11"/>
      <color theme="1"/>
      <name val="Calibri"/>
      <family val="2"/>
      <scheme val="minor"/>
    </font>
    <font>
      <b/>
      <shadow/>
      <sz val="8"/>
      <color rgb="FF000000"/>
      <name val="Calibri"/>
      <family val="2"/>
      <scheme val="minor"/>
    </font>
    <font>
      <u/>
      <sz val="11"/>
      <color theme="1"/>
      <name val="Calibri"/>
      <family val="2"/>
      <scheme val="minor"/>
    </font>
  </fonts>
  <fills count="4">
    <fill>
      <patternFill patternType="none"/>
    </fill>
    <fill>
      <patternFill patternType="gray125"/>
    </fill>
    <fill>
      <patternFill patternType="solid">
        <fgColor theme="2" tint="-0.499984740745262"/>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4">
    <xf numFmtId="0" fontId="0" fillId="0" borderId="0" xfId="0"/>
    <xf numFmtId="0" fontId="0" fillId="0" borderId="0" xfId="0" pivotButton="1"/>
    <xf numFmtId="0" fontId="0" fillId="0" borderId="0" xfId="0" applyAlignment="1">
      <alignment horizontal="left"/>
    </xf>
    <xf numFmtId="2" fontId="0" fillId="0" borderId="0" xfId="0" applyNumberFormat="1"/>
    <xf numFmtId="0" fontId="0" fillId="2" borderId="0" xfId="0" applyFill="1"/>
    <xf numFmtId="1" fontId="0" fillId="0" borderId="0" xfId="0" applyNumberFormat="1"/>
    <xf numFmtId="10" fontId="0" fillId="0" borderId="0" xfId="0" applyNumberFormat="1"/>
    <xf numFmtId="0" fontId="0" fillId="3" borderId="0" xfId="0" applyFill="1"/>
    <xf numFmtId="1" fontId="0" fillId="3" borderId="0" xfId="0" applyNumberFormat="1" applyFill="1"/>
    <xf numFmtId="9" fontId="0" fillId="3" borderId="0" xfId="0" applyNumberFormat="1" applyFill="1"/>
    <xf numFmtId="0" fontId="1" fillId="3" borderId="0" xfId="0" applyFont="1" applyFill="1"/>
    <xf numFmtId="0" fontId="2" fillId="0" borderId="0" xfId="0" applyFont="1" applyAlignment="1">
      <alignment horizontal="center" vertical="center"/>
    </xf>
    <xf numFmtId="0" fontId="0" fillId="0" borderId="0" xfId="0" applyNumberFormat="1"/>
    <xf numFmtId="0" fontId="3" fillId="2" borderId="0" xfId="0" applyFont="1" applyFill="1"/>
  </cellXfs>
  <cellStyles count="1">
    <cellStyle name="Normal" xfId="0" builtinId="0"/>
  </cellStyles>
  <dxfs count="15">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font>
        <b/>
        <color theme="1"/>
      </font>
      <border>
        <bottom style="thin">
          <color theme="6"/>
        </bottom>
        <vertical/>
        <horizontal/>
      </border>
    </dxf>
    <dxf>
      <font>
        <b/>
        <i val="0"/>
        <sz val="9"/>
        <color theme="1"/>
      </font>
      <border diagonalUp="0" diagonalDown="0">
        <left/>
        <right/>
        <top/>
        <bottom/>
        <vertical/>
        <horizontal/>
      </border>
    </dxf>
    <dxf>
      <font>
        <b/>
        <color theme="1"/>
      </font>
      <border>
        <bottom style="thin">
          <color theme="5"/>
        </bottom>
        <vertical/>
        <horizontal/>
      </border>
    </dxf>
    <dxf>
      <font>
        <color theme="1"/>
      </font>
      <fill>
        <patternFill patternType="none">
          <bgColor auto="1"/>
        </patternFill>
      </fill>
      <border diagonalUp="0" diagonalDown="0">
        <left/>
        <right/>
        <top/>
        <bottom/>
        <vertical/>
        <horizontal/>
      </border>
    </dxf>
  </dxfs>
  <tableStyles count="2" defaultTableStyle="TableStyleMedium2" defaultPivotStyle="PivotStyleLight16">
    <tableStyle name="My  2" pivot="0" table="0" count="10" xr9:uid="{9A7AD572-3343-4F88-905A-3D61B788341C}">
      <tableStyleElement type="wholeTable" dxfId="14"/>
      <tableStyleElement type="headerRow" dxfId="13"/>
    </tableStyle>
    <tableStyle name="My Style" pivot="0" table="0" count="10" xr9:uid="{D1A3A60F-7415-4C5C-886A-8598DAD4BE23}">
      <tableStyleElement type="wholeTable" dxfId="12"/>
      <tableStyleElement type="headerRow" dxfId="11"/>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Project 4.xlsx]Pivot Report!PivotTable7</c:name>
    <c:fmtId val="3"/>
  </c:pivotSource>
  <c:chart>
    <c:autoTitleDeleted val="0"/>
    <c:pivotFmts>
      <c:pivotFmt>
        <c:idx val="0"/>
        <c:spPr>
          <a:solidFill>
            <a:schemeClr val="accent5">
              <a:lumMod val="75000"/>
            </a:schemeClr>
          </a:solidFill>
          <a:ln w="31750">
            <a:solidFill>
              <a:schemeClr val="accent1"/>
            </a:solidFill>
          </a:ln>
          <a:effectLst/>
        </c:spPr>
        <c:marker>
          <c:symbol val="none"/>
        </c:marker>
        <c:dLbl>
          <c:idx val="0"/>
          <c:numFmt formatCode="0%" sourceLinked="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1"/>
        <c:spPr>
          <a:solidFill>
            <a:schemeClr val="accent2"/>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831C511-83C1-4CCB-A4CC-7E7ACDA5E1F5}"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numFmt formatCode="0%" sourceLinked="0"/>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
        <c:idx val="3"/>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89000FA-41C2-4555-8463-EC91D70E8B38}"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numFmt formatCode="0%" sourceLinked="0"/>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
        <c:idx val="4"/>
        <c:dLbl>
          <c:idx val="0"/>
          <c:delete val="1"/>
          <c:extLst>
            <c:ext xmlns:c15="http://schemas.microsoft.com/office/drawing/2012/chart" uri="{CE6537A1-D6FC-4f65-9D91-7224C49458BB}"/>
          </c:extLst>
        </c:dLbl>
      </c:pivotFmt>
      <c:pivotFmt>
        <c:idx val="5"/>
        <c:dLbl>
          <c:idx val="0"/>
          <c:delete val="1"/>
          <c:extLst>
            <c:ext xmlns:c15="http://schemas.microsoft.com/office/drawing/2012/chart" uri="{CE6537A1-D6FC-4f65-9D91-7224C49458BB}"/>
          </c:extLst>
        </c:dLbl>
      </c:pivotFmt>
    </c:pivotFmts>
    <c:plotArea>
      <c:layout>
        <c:manualLayout>
          <c:layoutTarget val="inner"/>
          <c:xMode val="edge"/>
          <c:yMode val="edge"/>
          <c:x val="0.23354988053203557"/>
          <c:y val="8.8895619870366385E-2"/>
          <c:w val="0.42920934370030339"/>
          <c:h val="0.82220876025926726"/>
        </c:manualLayout>
      </c:layout>
      <c:barChart>
        <c:barDir val="bar"/>
        <c:grouping val="clustered"/>
        <c:varyColors val="0"/>
        <c:ser>
          <c:idx val="0"/>
          <c:order val="0"/>
          <c:tx>
            <c:strRef>
              <c:f>'Pivot Report'!$D$52:$D$53</c:f>
              <c:strCache>
                <c:ptCount val="1"/>
                <c:pt idx="0">
                  <c:v>Count of Patient Admission Flag</c:v>
                </c:pt>
              </c:strCache>
            </c:strRef>
          </c:tx>
          <c:spPr>
            <a:solidFill>
              <a:schemeClr val="accent5">
                <a:lumMod val="75000"/>
              </a:schemeClr>
            </a:solidFill>
            <a:ln w="31750">
              <a:solidFill>
                <a:schemeClr val="accent1"/>
              </a:solidFill>
            </a:ln>
            <a:effectLst/>
          </c:spPr>
          <c:invertIfNegative val="0"/>
          <c:dLbls>
            <c:dLbl>
              <c:idx val="0"/>
              <c:tx>
                <c:rich>
                  <a:bodyPr/>
                  <a:lstStyle/>
                  <a:p>
                    <a:fld id="{E831C511-83C1-4CCB-A4CC-7E7ACDA5E1F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8806-4939-8A3C-CDC77243EAAB}"/>
                </c:ext>
              </c:extLst>
            </c:dLbl>
            <c:dLbl>
              <c:idx val="1"/>
              <c:tx>
                <c:rich>
                  <a:bodyPr/>
                  <a:lstStyle/>
                  <a:p>
                    <a:fld id="{F89000FA-41C2-4555-8463-EC91D70E8B3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8806-4939-8A3C-CDC77243EAAB}"/>
                </c:ext>
              </c:extLst>
            </c:dLbl>
            <c:numFmt formatCode="0%" sourceLinked="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0"/>
              </c:ext>
            </c:extLst>
          </c:dLbls>
          <c:cat>
            <c:strRef>
              <c:f>'Pivot Report'!$D$52:$D$53</c:f>
              <c:strCache>
                <c:ptCount val="2"/>
                <c:pt idx="0">
                  <c:v>Admitted</c:v>
                </c:pt>
                <c:pt idx="1">
                  <c:v>Not Admitted</c:v>
                </c:pt>
              </c:strCache>
            </c:strRef>
          </c:cat>
          <c:val>
            <c:numRef>
              <c:f>'Pivot Report'!$D$52:$D$53</c:f>
              <c:numCache>
                <c:formatCode>0</c:formatCode>
                <c:ptCount val="2"/>
                <c:pt idx="0">
                  <c:v>82</c:v>
                </c:pt>
                <c:pt idx="1">
                  <c:v>72</c:v>
                </c:pt>
              </c:numCache>
            </c:numRef>
          </c:val>
          <c:extLst>
            <c:ext xmlns:c15="http://schemas.microsoft.com/office/drawing/2012/chart" uri="{02D57815-91ED-43cb-92C2-25804820EDAC}">
              <c15:datalabelsRange>
                <c15:f>'Pivot Report'!$D$52:$D$53</c15:f>
                <c15:dlblRangeCache>
                  <c:ptCount val="2"/>
                  <c:pt idx="0">
                    <c:v>53.25%</c:v>
                  </c:pt>
                  <c:pt idx="1">
                    <c:v>46.75%</c:v>
                  </c:pt>
                </c15:dlblRangeCache>
              </c15:datalabelsRange>
            </c:ext>
            <c:ext xmlns:c16="http://schemas.microsoft.com/office/drawing/2014/chart" uri="{C3380CC4-5D6E-409C-BE32-E72D297353CC}">
              <c16:uniqueId val="{00000000-8806-4939-8A3C-CDC77243EAAB}"/>
            </c:ext>
          </c:extLst>
        </c:ser>
        <c:ser>
          <c:idx val="1"/>
          <c:order val="1"/>
          <c:tx>
            <c:strRef>
              <c:f>'Pivot Report'!$D$52:$D$53</c:f>
              <c:strCache>
                <c:ptCount val="1"/>
                <c:pt idx="0">
                  <c:v>Count of Patient Admission Flag2</c:v>
                </c:pt>
              </c:strCache>
            </c:strRef>
          </c:tx>
          <c:spPr>
            <a:solidFill>
              <a:schemeClr val="accent2"/>
            </a:solidFill>
            <a:ln>
              <a:noFill/>
            </a:ln>
            <a:effectLst/>
          </c:spPr>
          <c:invertIfNegative val="0"/>
          <c:dLbls>
            <c:delete val="1"/>
          </c:dLbls>
          <c:cat>
            <c:strRef>
              <c:f>'Pivot Report'!$D$52:$D$53</c:f>
              <c:strCache>
                <c:ptCount val="2"/>
                <c:pt idx="0">
                  <c:v>Admitted</c:v>
                </c:pt>
                <c:pt idx="1">
                  <c:v>Not Admitted</c:v>
                </c:pt>
              </c:strCache>
            </c:strRef>
          </c:cat>
          <c:val>
            <c:numRef>
              <c:f>'Pivot Report'!$D$52:$D$53</c:f>
              <c:numCache>
                <c:formatCode>0.00%</c:formatCode>
                <c:ptCount val="2"/>
                <c:pt idx="0">
                  <c:v>0.53246753246753242</c:v>
                </c:pt>
                <c:pt idx="1">
                  <c:v>0.46753246753246752</c:v>
                </c:pt>
              </c:numCache>
            </c:numRef>
          </c:val>
          <c:extLst>
            <c:ext xmlns:c16="http://schemas.microsoft.com/office/drawing/2014/chart" uri="{C3380CC4-5D6E-409C-BE32-E72D297353CC}">
              <c16:uniqueId val="{00000001-8806-4939-8A3C-CDC77243EAAB}"/>
            </c:ext>
          </c:extLst>
        </c:ser>
        <c:dLbls>
          <c:dLblPos val="outEnd"/>
          <c:showLegendKey val="0"/>
          <c:showVal val="1"/>
          <c:showCatName val="0"/>
          <c:showSerName val="0"/>
          <c:showPercent val="0"/>
          <c:showBubbleSize val="0"/>
        </c:dLbls>
        <c:gapWidth val="182"/>
        <c:overlap val="7"/>
        <c:axId val="1740007232"/>
        <c:axId val="1740004832"/>
      </c:barChart>
      <c:catAx>
        <c:axId val="1740007232"/>
        <c:scaling>
          <c:orientation val="minMax"/>
        </c:scaling>
        <c:delete val="1"/>
        <c:axPos val="l"/>
        <c:numFmt formatCode="General" sourceLinked="1"/>
        <c:majorTickMark val="none"/>
        <c:minorTickMark val="none"/>
        <c:tickLblPos val="nextTo"/>
        <c:crossAx val="1740004832"/>
        <c:crosses val="autoZero"/>
        <c:auto val="1"/>
        <c:lblAlgn val="ctr"/>
        <c:lblOffset val="100"/>
        <c:noMultiLvlLbl val="0"/>
      </c:catAx>
      <c:valAx>
        <c:axId val="1740004832"/>
        <c:scaling>
          <c:orientation val="minMax"/>
        </c:scaling>
        <c:delete val="1"/>
        <c:axPos val="b"/>
        <c:numFmt formatCode="0" sourceLinked="1"/>
        <c:majorTickMark val="none"/>
        <c:minorTickMark val="none"/>
        <c:tickLblPos val="nextTo"/>
        <c:crossAx val="1740007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Project 4.xlsx]Pivot Report!PivotTable4</c:name>
    <c:fmtId val="10"/>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Report'!$F$2</c:f>
              <c:strCache>
                <c:ptCount val="1"/>
                <c:pt idx="0">
                  <c:v>Total</c:v>
                </c:pt>
              </c:strCache>
            </c:strRef>
          </c:tx>
          <c:spPr>
            <a:solidFill>
              <a:schemeClr val="accent1"/>
            </a:solidFill>
            <a:ln w="25400">
              <a:noFill/>
            </a:ln>
            <a:effectLst/>
          </c:spPr>
          <c:cat>
            <c:strRef>
              <c:f>'Pivot Report'!$E$3:$E$12</c:f>
              <c:strCache>
                <c:ptCount val="9"/>
                <c:pt idx="0">
                  <c:v>4-Jan</c:v>
                </c:pt>
                <c:pt idx="1">
                  <c:v>5-Jan</c:v>
                </c:pt>
                <c:pt idx="2">
                  <c:v>6-Jan</c:v>
                </c:pt>
                <c:pt idx="3">
                  <c:v>7-Jan</c:v>
                </c:pt>
                <c:pt idx="4">
                  <c:v>8-Jan</c:v>
                </c:pt>
                <c:pt idx="5">
                  <c:v>9-Jan</c:v>
                </c:pt>
                <c:pt idx="6">
                  <c:v>10-Jan</c:v>
                </c:pt>
                <c:pt idx="7">
                  <c:v>11-Jan</c:v>
                </c:pt>
                <c:pt idx="8">
                  <c:v>12-Jan</c:v>
                </c:pt>
              </c:strCache>
            </c:strRef>
          </c:cat>
          <c:val>
            <c:numRef>
              <c:f>'Pivot Report'!$F$3:$F$12</c:f>
              <c:numCache>
                <c:formatCode>0.00</c:formatCode>
                <c:ptCount val="9"/>
                <c:pt idx="0">
                  <c:v>40.473684210526315</c:v>
                </c:pt>
                <c:pt idx="1">
                  <c:v>31.5</c:v>
                </c:pt>
                <c:pt idx="2">
                  <c:v>34.884615384615387</c:v>
                </c:pt>
                <c:pt idx="3">
                  <c:v>38.200000000000003</c:v>
                </c:pt>
                <c:pt idx="4">
                  <c:v>35.714285714285715</c:v>
                </c:pt>
                <c:pt idx="5">
                  <c:v>29.833333333333332</c:v>
                </c:pt>
                <c:pt idx="6">
                  <c:v>36.4</c:v>
                </c:pt>
                <c:pt idx="7">
                  <c:v>35.117647058823529</c:v>
                </c:pt>
                <c:pt idx="8">
                  <c:v>34.5</c:v>
                </c:pt>
              </c:numCache>
            </c:numRef>
          </c:val>
          <c:extLst>
            <c:ext xmlns:c16="http://schemas.microsoft.com/office/drawing/2014/chart" uri="{C3380CC4-5D6E-409C-BE32-E72D297353CC}">
              <c16:uniqueId val="{00000009-C4E4-45BC-A70D-41A191318D14}"/>
            </c:ext>
          </c:extLst>
        </c:ser>
        <c:dLbls>
          <c:showLegendKey val="0"/>
          <c:showVal val="0"/>
          <c:showCatName val="0"/>
          <c:showSerName val="0"/>
          <c:showPercent val="0"/>
          <c:showBubbleSize val="0"/>
        </c:dLbls>
        <c:axId val="1843382575"/>
        <c:axId val="1843382095"/>
      </c:areaChart>
      <c:catAx>
        <c:axId val="1843382575"/>
        <c:scaling>
          <c:orientation val="minMax"/>
        </c:scaling>
        <c:delete val="1"/>
        <c:axPos val="b"/>
        <c:numFmt formatCode="General" sourceLinked="1"/>
        <c:majorTickMark val="out"/>
        <c:minorTickMark val="none"/>
        <c:tickLblPos val="nextTo"/>
        <c:crossAx val="1843382095"/>
        <c:crosses val="autoZero"/>
        <c:auto val="1"/>
        <c:lblAlgn val="ctr"/>
        <c:lblOffset val="100"/>
        <c:noMultiLvlLbl val="0"/>
      </c:catAx>
      <c:valAx>
        <c:axId val="1843382095"/>
        <c:scaling>
          <c:orientation val="minMax"/>
        </c:scaling>
        <c:delete val="1"/>
        <c:axPos val="l"/>
        <c:numFmt formatCode="0.00" sourceLinked="1"/>
        <c:majorTickMark val="none"/>
        <c:minorTickMark val="none"/>
        <c:tickLblPos val="nextTo"/>
        <c:crossAx val="184338257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Project 4.xlsx]Pivot Report!PivotTable4</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Report'!$F$2</c:f>
              <c:strCache>
                <c:ptCount val="1"/>
                <c:pt idx="0">
                  <c:v>Total</c:v>
                </c:pt>
              </c:strCache>
            </c:strRef>
          </c:tx>
          <c:spPr>
            <a:solidFill>
              <a:schemeClr val="accent1"/>
            </a:solidFill>
            <a:ln w="25400">
              <a:noFill/>
            </a:ln>
            <a:effectLst/>
          </c:spPr>
          <c:cat>
            <c:strRef>
              <c:f>'Pivot Report'!$E$3:$E$12</c:f>
              <c:strCache>
                <c:ptCount val="9"/>
                <c:pt idx="0">
                  <c:v>4-Jan</c:v>
                </c:pt>
                <c:pt idx="1">
                  <c:v>5-Jan</c:v>
                </c:pt>
                <c:pt idx="2">
                  <c:v>6-Jan</c:v>
                </c:pt>
                <c:pt idx="3">
                  <c:v>7-Jan</c:v>
                </c:pt>
                <c:pt idx="4">
                  <c:v>8-Jan</c:v>
                </c:pt>
                <c:pt idx="5">
                  <c:v>9-Jan</c:v>
                </c:pt>
                <c:pt idx="6">
                  <c:v>10-Jan</c:v>
                </c:pt>
                <c:pt idx="7">
                  <c:v>11-Jan</c:v>
                </c:pt>
                <c:pt idx="8">
                  <c:v>12-Jan</c:v>
                </c:pt>
              </c:strCache>
            </c:strRef>
          </c:cat>
          <c:val>
            <c:numRef>
              <c:f>'Pivot Report'!$F$3:$F$12</c:f>
              <c:numCache>
                <c:formatCode>0.00</c:formatCode>
                <c:ptCount val="9"/>
                <c:pt idx="0">
                  <c:v>40.473684210526315</c:v>
                </c:pt>
                <c:pt idx="1">
                  <c:v>31.5</c:v>
                </c:pt>
                <c:pt idx="2">
                  <c:v>34.884615384615387</c:v>
                </c:pt>
                <c:pt idx="3">
                  <c:v>38.200000000000003</c:v>
                </c:pt>
                <c:pt idx="4">
                  <c:v>35.714285714285715</c:v>
                </c:pt>
                <c:pt idx="5">
                  <c:v>29.833333333333332</c:v>
                </c:pt>
                <c:pt idx="6">
                  <c:v>36.4</c:v>
                </c:pt>
                <c:pt idx="7">
                  <c:v>35.117647058823529</c:v>
                </c:pt>
                <c:pt idx="8">
                  <c:v>34.5</c:v>
                </c:pt>
              </c:numCache>
            </c:numRef>
          </c:val>
          <c:extLst>
            <c:ext xmlns:c16="http://schemas.microsoft.com/office/drawing/2014/chart" uri="{C3380CC4-5D6E-409C-BE32-E72D297353CC}">
              <c16:uniqueId val="{00000001-6CB4-40C0-97E4-B3E0A74FF7EA}"/>
            </c:ext>
          </c:extLst>
        </c:ser>
        <c:dLbls>
          <c:showLegendKey val="0"/>
          <c:showVal val="0"/>
          <c:showCatName val="0"/>
          <c:showSerName val="0"/>
          <c:showPercent val="0"/>
          <c:showBubbleSize val="0"/>
        </c:dLbls>
        <c:axId val="1843394095"/>
        <c:axId val="1843394575"/>
      </c:areaChart>
      <c:catAx>
        <c:axId val="1843394095"/>
        <c:scaling>
          <c:orientation val="minMax"/>
        </c:scaling>
        <c:delete val="1"/>
        <c:axPos val="b"/>
        <c:numFmt formatCode="General" sourceLinked="1"/>
        <c:majorTickMark val="out"/>
        <c:minorTickMark val="none"/>
        <c:tickLblPos val="nextTo"/>
        <c:crossAx val="1843394575"/>
        <c:crosses val="autoZero"/>
        <c:auto val="1"/>
        <c:lblAlgn val="ctr"/>
        <c:lblOffset val="100"/>
        <c:noMultiLvlLbl val="0"/>
      </c:catAx>
      <c:valAx>
        <c:axId val="1843394575"/>
        <c:scaling>
          <c:orientation val="minMax"/>
        </c:scaling>
        <c:delete val="1"/>
        <c:axPos val="l"/>
        <c:numFmt formatCode="0.00" sourceLinked="1"/>
        <c:majorTickMark val="none"/>
        <c:minorTickMark val="none"/>
        <c:tickLblPos val="nextTo"/>
        <c:crossAx val="184339409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Project 4.xlsx]Pivot Report!PivotTable4</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Report'!$F$2</c:f>
              <c:strCache>
                <c:ptCount val="1"/>
                <c:pt idx="0">
                  <c:v>Total</c:v>
                </c:pt>
              </c:strCache>
            </c:strRef>
          </c:tx>
          <c:spPr>
            <a:solidFill>
              <a:schemeClr val="accent1"/>
            </a:solidFill>
            <a:ln>
              <a:noFill/>
            </a:ln>
            <a:effectLst/>
          </c:spPr>
          <c:cat>
            <c:strRef>
              <c:f>'Pivot Report'!$E$3:$E$12</c:f>
              <c:strCache>
                <c:ptCount val="9"/>
                <c:pt idx="0">
                  <c:v>4-Jan</c:v>
                </c:pt>
                <c:pt idx="1">
                  <c:v>5-Jan</c:v>
                </c:pt>
                <c:pt idx="2">
                  <c:v>6-Jan</c:v>
                </c:pt>
                <c:pt idx="3">
                  <c:v>7-Jan</c:v>
                </c:pt>
                <c:pt idx="4">
                  <c:v>8-Jan</c:v>
                </c:pt>
                <c:pt idx="5">
                  <c:v>9-Jan</c:v>
                </c:pt>
                <c:pt idx="6">
                  <c:v>10-Jan</c:v>
                </c:pt>
                <c:pt idx="7">
                  <c:v>11-Jan</c:v>
                </c:pt>
                <c:pt idx="8">
                  <c:v>12-Jan</c:v>
                </c:pt>
              </c:strCache>
            </c:strRef>
          </c:cat>
          <c:val>
            <c:numRef>
              <c:f>'Pivot Report'!$F$3:$F$12</c:f>
              <c:numCache>
                <c:formatCode>0.00</c:formatCode>
                <c:ptCount val="9"/>
                <c:pt idx="0">
                  <c:v>40.473684210526315</c:v>
                </c:pt>
                <c:pt idx="1">
                  <c:v>31.5</c:v>
                </c:pt>
                <c:pt idx="2">
                  <c:v>34.884615384615387</c:v>
                </c:pt>
                <c:pt idx="3">
                  <c:v>38.200000000000003</c:v>
                </c:pt>
                <c:pt idx="4">
                  <c:v>35.714285714285715</c:v>
                </c:pt>
                <c:pt idx="5">
                  <c:v>29.833333333333332</c:v>
                </c:pt>
                <c:pt idx="6">
                  <c:v>36.4</c:v>
                </c:pt>
                <c:pt idx="7">
                  <c:v>35.117647058823529</c:v>
                </c:pt>
                <c:pt idx="8">
                  <c:v>34.5</c:v>
                </c:pt>
              </c:numCache>
            </c:numRef>
          </c:val>
          <c:extLst>
            <c:ext xmlns:c16="http://schemas.microsoft.com/office/drawing/2014/chart" uri="{C3380CC4-5D6E-409C-BE32-E72D297353CC}">
              <c16:uniqueId val="{00000000-107C-4149-BE63-504322E9644D}"/>
            </c:ext>
          </c:extLst>
        </c:ser>
        <c:dLbls>
          <c:showLegendKey val="0"/>
          <c:showVal val="0"/>
          <c:showCatName val="0"/>
          <c:showSerName val="0"/>
          <c:showPercent val="0"/>
          <c:showBubbleSize val="0"/>
        </c:dLbls>
        <c:axId val="121901103"/>
        <c:axId val="121905423"/>
      </c:areaChart>
      <c:catAx>
        <c:axId val="121901103"/>
        <c:scaling>
          <c:orientation val="minMax"/>
        </c:scaling>
        <c:delete val="1"/>
        <c:axPos val="b"/>
        <c:numFmt formatCode="General" sourceLinked="1"/>
        <c:majorTickMark val="out"/>
        <c:minorTickMark val="none"/>
        <c:tickLblPos val="nextTo"/>
        <c:crossAx val="121905423"/>
        <c:crosses val="autoZero"/>
        <c:auto val="1"/>
        <c:lblAlgn val="ctr"/>
        <c:lblOffset val="100"/>
        <c:noMultiLvlLbl val="0"/>
      </c:catAx>
      <c:valAx>
        <c:axId val="121905423"/>
        <c:scaling>
          <c:orientation val="minMax"/>
        </c:scaling>
        <c:delete val="1"/>
        <c:axPos val="l"/>
        <c:numFmt formatCode="0.00" sourceLinked="1"/>
        <c:majorTickMark val="none"/>
        <c:minorTickMark val="none"/>
        <c:tickLblPos val="nextTo"/>
        <c:crossAx val="12190110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Project 4.xlsx]Pivot Report!PivotTable6</c:name>
    <c:fmtId val="3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Report'!$I$37</c:f>
              <c:strCache>
                <c:ptCount val="1"/>
                <c:pt idx="0">
                  <c:v>Total</c:v>
                </c:pt>
              </c:strCache>
            </c:strRef>
          </c:tx>
          <c:spPr>
            <a:solidFill>
              <a:schemeClr val="accent1"/>
            </a:solidFill>
            <a:ln>
              <a:noFill/>
            </a:ln>
            <a:effectLst/>
          </c:spPr>
          <c:cat>
            <c:strRef>
              <c:f>'Pivot Report'!$H$38:$H$47</c:f>
              <c:strCache>
                <c:ptCount val="9"/>
                <c:pt idx="0">
                  <c:v>4-Jan</c:v>
                </c:pt>
                <c:pt idx="1">
                  <c:v>5-Jan</c:v>
                </c:pt>
                <c:pt idx="2">
                  <c:v>6-Jan</c:v>
                </c:pt>
                <c:pt idx="3">
                  <c:v>7-Jan</c:v>
                </c:pt>
                <c:pt idx="4">
                  <c:v>8-Jan</c:v>
                </c:pt>
                <c:pt idx="5">
                  <c:v>9-Jan</c:v>
                </c:pt>
                <c:pt idx="6">
                  <c:v>10-Jan</c:v>
                </c:pt>
                <c:pt idx="7">
                  <c:v>11-Jan</c:v>
                </c:pt>
                <c:pt idx="8">
                  <c:v>12-Jan</c:v>
                </c:pt>
              </c:strCache>
            </c:strRef>
          </c:cat>
          <c:val>
            <c:numRef>
              <c:f>'Pivot Report'!$I$38:$I$47</c:f>
              <c:numCache>
                <c:formatCode>0.00</c:formatCode>
                <c:ptCount val="9"/>
                <c:pt idx="0">
                  <c:v>3.8</c:v>
                </c:pt>
                <c:pt idx="1">
                  <c:v>5.5</c:v>
                </c:pt>
                <c:pt idx="2">
                  <c:v>4.8</c:v>
                </c:pt>
                <c:pt idx="3">
                  <c:v>2</c:v>
                </c:pt>
                <c:pt idx="4">
                  <c:v>8</c:v>
                </c:pt>
                <c:pt idx="5">
                  <c:v>3.5</c:v>
                </c:pt>
                <c:pt idx="6">
                  <c:v>4.8</c:v>
                </c:pt>
                <c:pt idx="7">
                  <c:v>4.666666666666667</c:v>
                </c:pt>
                <c:pt idx="8">
                  <c:v>9</c:v>
                </c:pt>
              </c:numCache>
            </c:numRef>
          </c:val>
          <c:extLst>
            <c:ext xmlns:c16="http://schemas.microsoft.com/office/drawing/2014/chart" uri="{C3380CC4-5D6E-409C-BE32-E72D297353CC}">
              <c16:uniqueId val="{00000000-2751-4928-946F-DCF945E4CEA5}"/>
            </c:ext>
          </c:extLst>
        </c:ser>
        <c:dLbls>
          <c:showLegendKey val="0"/>
          <c:showVal val="0"/>
          <c:showCatName val="0"/>
          <c:showSerName val="0"/>
          <c:showPercent val="0"/>
          <c:showBubbleSize val="0"/>
        </c:dLbls>
        <c:axId val="340540703"/>
        <c:axId val="340547903"/>
      </c:areaChart>
      <c:catAx>
        <c:axId val="340540703"/>
        <c:scaling>
          <c:orientation val="minMax"/>
        </c:scaling>
        <c:delete val="1"/>
        <c:axPos val="b"/>
        <c:numFmt formatCode="General" sourceLinked="1"/>
        <c:majorTickMark val="out"/>
        <c:minorTickMark val="none"/>
        <c:tickLblPos val="nextTo"/>
        <c:crossAx val="340547903"/>
        <c:crosses val="autoZero"/>
        <c:auto val="1"/>
        <c:lblAlgn val="ctr"/>
        <c:lblOffset val="100"/>
        <c:noMultiLvlLbl val="0"/>
      </c:catAx>
      <c:valAx>
        <c:axId val="340547903"/>
        <c:scaling>
          <c:orientation val="minMax"/>
        </c:scaling>
        <c:delete val="1"/>
        <c:axPos val="l"/>
        <c:numFmt formatCode="0.00" sourceLinked="1"/>
        <c:majorTickMark val="none"/>
        <c:minorTickMark val="none"/>
        <c:tickLblPos val="nextTo"/>
        <c:crossAx val="34054070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Project 4.xlsx]Pivot Report!PivotTable8</c:name>
    <c:fmtId val="8"/>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Report'!$C$68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Report'!$B$69:$B$77</c:f>
              <c:strCache>
                <c:ptCount val="8"/>
                <c:pt idx="0">
                  <c:v>0-9</c:v>
                </c:pt>
                <c:pt idx="1">
                  <c:v>10-19</c:v>
                </c:pt>
                <c:pt idx="2">
                  <c:v>20-29</c:v>
                </c:pt>
                <c:pt idx="3">
                  <c:v>30-39</c:v>
                </c:pt>
                <c:pt idx="4">
                  <c:v>40-49</c:v>
                </c:pt>
                <c:pt idx="5">
                  <c:v>50-59</c:v>
                </c:pt>
                <c:pt idx="6">
                  <c:v>60-69</c:v>
                </c:pt>
                <c:pt idx="7">
                  <c:v>70-79</c:v>
                </c:pt>
              </c:strCache>
            </c:strRef>
          </c:cat>
          <c:val>
            <c:numRef>
              <c:f>'Pivot Report'!$C$69:$C$77</c:f>
              <c:numCache>
                <c:formatCode>0</c:formatCode>
                <c:ptCount val="8"/>
                <c:pt idx="0">
                  <c:v>17</c:v>
                </c:pt>
                <c:pt idx="1">
                  <c:v>15</c:v>
                </c:pt>
                <c:pt idx="2">
                  <c:v>24</c:v>
                </c:pt>
                <c:pt idx="3">
                  <c:v>23</c:v>
                </c:pt>
                <c:pt idx="4">
                  <c:v>14</c:v>
                </c:pt>
                <c:pt idx="5">
                  <c:v>22</c:v>
                </c:pt>
                <c:pt idx="6">
                  <c:v>20</c:v>
                </c:pt>
                <c:pt idx="7">
                  <c:v>19</c:v>
                </c:pt>
              </c:numCache>
            </c:numRef>
          </c:val>
          <c:extLst>
            <c:ext xmlns:c16="http://schemas.microsoft.com/office/drawing/2014/chart" uri="{C3380CC4-5D6E-409C-BE32-E72D297353CC}">
              <c16:uniqueId val="{00000000-4EFE-4EBD-86BE-1951648F83C4}"/>
            </c:ext>
          </c:extLst>
        </c:ser>
        <c:dLbls>
          <c:dLblPos val="outEnd"/>
          <c:showLegendKey val="0"/>
          <c:showVal val="1"/>
          <c:showCatName val="0"/>
          <c:showSerName val="0"/>
          <c:showPercent val="0"/>
          <c:showBubbleSize val="0"/>
        </c:dLbls>
        <c:gapWidth val="219"/>
        <c:overlap val="-27"/>
        <c:axId val="1744794688"/>
        <c:axId val="1744785568"/>
      </c:barChart>
      <c:catAx>
        <c:axId val="1744794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4785568"/>
        <c:crosses val="autoZero"/>
        <c:auto val="1"/>
        <c:lblAlgn val="ctr"/>
        <c:lblOffset val="100"/>
        <c:noMultiLvlLbl val="0"/>
      </c:catAx>
      <c:valAx>
        <c:axId val="1744785568"/>
        <c:scaling>
          <c:orientation val="minMax"/>
        </c:scaling>
        <c:delete val="1"/>
        <c:axPos val="l"/>
        <c:numFmt formatCode="0" sourceLinked="1"/>
        <c:majorTickMark val="none"/>
        <c:minorTickMark val="none"/>
        <c:tickLblPos val="nextTo"/>
        <c:crossAx val="17447946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Project 4.xlsx]Pivot Report!PivotTable9</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7184055118110239"/>
          <c:y val="0.24636284750120524"/>
          <c:w val="0.63116863517060362"/>
          <c:h val="0.71791693099973874"/>
        </c:manualLayout>
      </c:layout>
      <c:pieChart>
        <c:varyColors val="1"/>
        <c:ser>
          <c:idx val="0"/>
          <c:order val="0"/>
          <c:tx>
            <c:strRef>
              <c:f>'Pivot Report'!$C$81</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110-42D6-B2D5-8699CD5D1DE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110-42D6-B2D5-8699CD5D1DEE}"/>
              </c:ext>
            </c:extLst>
          </c:dPt>
          <c:dLbls>
            <c:dLbl>
              <c:idx val="0"/>
              <c:dLblPos val="inEnd"/>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110-42D6-B2D5-8699CD5D1DEE}"/>
                </c:ext>
              </c:extLst>
            </c:dLbl>
            <c:dLbl>
              <c:idx val="1"/>
              <c:dLblPos val="inEnd"/>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110-42D6-B2D5-8699CD5D1DE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Report'!$B$82:$B$84</c:f>
              <c:strCache>
                <c:ptCount val="2"/>
                <c:pt idx="0">
                  <c:v>Delay</c:v>
                </c:pt>
                <c:pt idx="1">
                  <c:v>On time</c:v>
                </c:pt>
              </c:strCache>
            </c:strRef>
          </c:cat>
          <c:val>
            <c:numRef>
              <c:f>'Pivot Report'!$C$82:$C$84</c:f>
              <c:numCache>
                <c:formatCode>0</c:formatCode>
                <c:ptCount val="2"/>
                <c:pt idx="0">
                  <c:v>94</c:v>
                </c:pt>
                <c:pt idx="1">
                  <c:v>60</c:v>
                </c:pt>
              </c:numCache>
            </c:numRef>
          </c:val>
          <c:extLst>
            <c:ext xmlns:c16="http://schemas.microsoft.com/office/drawing/2014/chart" uri="{C3380CC4-5D6E-409C-BE32-E72D297353CC}">
              <c16:uniqueId val="{00000004-4110-42D6-B2D5-8699CD5D1DEE}"/>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1682259236826166"/>
          <c:y val="6.5392971711869349E-2"/>
          <c:w val="0.67258570563294973"/>
          <c:h val="0.156251093613298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Project 4.xlsx]Pivot Report!PivotTable10</c:name>
    <c:fmtId val="2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34090718003469905"/>
          <c:y val="0.17079591402426045"/>
          <c:w val="0.2960216201788336"/>
          <c:h val="0.62937930056040292"/>
        </c:manualLayout>
      </c:layout>
      <c:doughnutChart>
        <c:varyColors val="1"/>
        <c:ser>
          <c:idx val="0"/>
          <c:order val="0"/>
          <c:tx>
            <c:strRef>
              <c:f>'Pivot Report'!$C$87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8B3-4F35-AD03-B71410FC5A8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8B3-4F35-AD03-B71410FC5A8A}"/>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Report'!$B$88:$B$90</c:f>
              <c:strCache>
                <c:ptCount val="2"/>
                <c:pt idx="0">
                  <c:v>Female</c:v>
                </c:pt>
                <c:pt idx="1">
                  <c:v>Male</c:v>
                </c:pt>
              </c:strCache>
            </c:strRef>
          </c:cat>
          <c:val>
            <c:numRef>
              <c:f>'Pivot Report'!$C$88:$C$90</c:f>
              <c:numCache>
                <c:formatCode>0</c:formatCode>
                <c:ptCount val="2"/>
                <c:pt idx="0">
                  <c:v>75</c:v>
                </c:pt>
                <c:pt idx="1">
                  <c:v>79</c:v>
                </c:pt>
              </c:numCache>
            </c:numRef>
          </c:val>
          <c:extLst>
            <c:ext xmlns:c16="http://schemas.microsoft.com/office/drawing/2014/chart" uri="{C3380CC4-5D6E-409C-BE32-E72D297353CC}">
              <c16:uniqueId val="{00000004-38B3-4F35-AD03-B71410FC5A8A}"/>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31458327772587746"/>
          <c:y val="2.8355678513158827E-2"/>
          <c:w val="0.29874059492563432"/>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Project 4.xlsx]Pivot Report!PivotTable11</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Report'!$F$91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Report'!$E$92:$E$100</c:f>
              <c:strCache>
                <c:ptCount val="8"/>
                <c:pt idx="0">
                  <c:v>Renal</c:v>
                </c:pt>
                <c:pt idx="1">
                  <c:v>Neurology</c:v>
                </c:pt>
                <c:pt idx="2">
                  <c:v>Gastroenterology</c:v>
                </c:pt>
                <c:pt idx="3">
                  <c:v>Physiotherapy</c:v>
                </c:pt>
                <c:pt idx="4">
                  <c:v>Cardiology</c:v>
                </c:pt>
                <c:pt idx="5">
                  <c:v>Orthopedics</c:v>
                </c:pt>
                <c:pt idx="6">
                  <c:v>General Practice</c:v>
                </c:pt>
                <c:pt idx="7">
                  <c:v>None</c:v>
                </c:pt>
              </c:strCache>
            </c:strRef>
          </c:cat>
          <c:val>
            <c:numRef>
              <c:f>'Pivot Report'!$F$92:$F$100</c:f>
              <c:numCache>
                <c:formatCode>0</c:formatCode>
                <c:ptCount val="8"/>
                <c:pt idx="0">
                  <c:v>1</c:v>
                </c:pt>
                <c:pt idx="1">
                  <c:v>3</c:v>
                </c:pt>
                <c:pt idx="2">
                  <c:v>4</c:v>
                </c:pt>
                <c:pt idx="3">
                  <c:v>4</c:v>
                </c:pt>
                <c:pt idx="4">
                  <c:v>7</c:v>
                </c:pt>
                <c:pt idx="5">
                  <c:v>11</c:v>
                </c:pt>
                <c:pt idx="6">
                  <c:v>31</c:v>
                </c:pt>
                <c:pt idx="7">
                  <c:v>93</c:v>
                </c:pt>
              </c:numCache>
            </c:numRef>
          </c:val>
          <c:extLst>
            <c:ext xmlns:c16="http://schemas.microsoft.com/office/drawing/2014/chart" uri="{C3380CC4-5D6E-409C-BE32-E72D297353CC}">
              <c16:uniqueId val="{00000000-76DB-4B05-A831-32E9CF2B7126}"/>
            </c:ext>
          </c:extLst>
        </c:ser>
        <c:dLbls>
          <c:dLblPos val="outEnd"/>
          <c:showLegendKey val="0"/>
          <c:showVal val="1"/>
          <c:showCatName val="0"/>
          <c:showSerName val="0"/>
          <c:showPercent val="0"/>
          <c:showBubbleSize val="0"/>
        </c:dLbls>
        <c:gapWidth val="182"/>
        <c:axId val="517356576"/>
        <c:axId val="517357056"/>
      </c:barChart>
      <c:catAx>
        <c:axId val="517356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17357056"/>
        <c:crosses val="autoZero"/>
        <c:auto val="1"/>
        <c:lblAlgn val="ctr"/>
        <c:lblOffset val="100"/>
        <c:noMultiLvlLbl val="0"/>
      </c:catAx>
      <c:valAx>
        <c:axId val="517357056"/>
        <c:scaling>
          <c:orientation val="minMax"/>
        </c:scaling>
        <c:delete val="1"/>
        <c:axPos val="b"/>
        <c:numFmt formatCode="0" sourceLinked="1"/>
        <c:majorTickMark val="none"/>
        <c:minorTickMark val="none"/>
        <c:tickLblPos val="nextTo"/>
        <c:crossAx val="5173565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Project 4.xlsx]Pivot Report!PivotTable6</c:name>
    <c:fmtId val="2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Report'!$I$37</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Report'!$H$38:$H$47</c:f>
              <c:strCache>
                <c:ptCount val="9"/>
                <c:pt idx="0">
                  <c:v>4-Jan</c:v>
                </c:pt>
                <c:pt idx="1">
                  <c:v>5-Jan</c:v>
                </c:pt>
                <c:pt idx="2">
                  <c:v>6-Jan</c:v>
                </c:pt>
                <c:pt idx="3">
                  <c:v>7-Jan</c:v>
                </c:pt>
                <c:pt idx="4">
                  <c:v>8-Jan</c:v>
                </c:pt>
                <c:pt idx="5">
                  <c:v>9-Jan</c:v>
                </c:pt>
                <c:pt idx="6">
                  <c:v>10-Jan</c:v>
                </c:pt>
                <c:pt idx="7">
                  <c:v>11-Jan</c:v>
                </c:pt>
                <c:pt idx="8">
                  <c:v>12-Jan</c:v>
                </c:pt>
              </c:strCache>
            </c:strRef>
          </c:cat>
          <c:val>
            <c:numRef>
              <c:f>'Pivot Report'!$I$38:$I$47</c:f>
              <c:numCache>
                <c:formatCode>0.00</c:formatCode>
                <c:ptCount val="9"/>
                <c:pt idx="0">
                  <c:v>3.8</c:v>
                </c:pt>
                <c:pt idx="1">
                  <c:v>5.5</c:v>
                </c:pt>
                <c:pt idx="2">
                  <c:v>4.8</c:v>
                </c:pt>
                <c:pt idx="3">
                  <c:v>2</c:v>
                </c:pt>
                <c:pt idx="4">
                  <c:v>8</c:v>
                </c:pt>
                <c:pt idx="5">
                  <c:v>3.5</c:v>
                </c:pt>
                <c:pt idx="6">
                  <c:v>4.8</c:v>
                </c:pt>
                <c:pt idx="7">
                  <c:v>4.666666666666667</c:v>
                </c:pt>
                <c:pt idx="8">
                  <c:v>9</c:v>
                </c:pt>
              </c:numCache>
            </c:numRef>
          </c:val>
          <c:extLst>
            <c:ext xmlns:c16="http://schemas.microsoft.com/office/drawing/2014/chart" uri="{C3380CC4-5D6E-409C-BE32-E72D297353CC}">
              <c16:uniqueId val="{00000000-3A21-453A-98D2-744F347A5523}"/>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340540703"/>
        <c:axId val="340547903"/>
      </c:areaChart>
      <c:catAx>
        <c:axId val="34054070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40547903"/>
        <c:crosses val="autoZero"/>
        <c:auto val="1"/>
        <c:lblAlgn val="ctr"/>
        <c:lblOffset val="100"/>
        <c:noMultiLvlLbl val="0"/>
      </c:catAx>
      <c:valAx>
        <c:axId val="340547903"/>
        <c:scaling>
          <c:orientation val="minMax"/>
        </c:scaling>
        <c:delete val="1"/>
        <c:axPos val="l"/>
        <c:numFmt formatCode="0.00" sourceLinked="1"/>
        <c:majorTickMark val="out"/>
        <c:minorTickMark val="none"/>
        <c:tickLblPos val="nextTo"/>
        <c:crossAx val="34054070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Project 4.xlsx]Pivot Report!PivotTable4</c:name>
    <c:fmtId val="2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Report'!$F$2</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Report'!$E$3:$E$12</c:f>
              <c:strCache>
                <c:ptCount val="9"/>
                <c:pt idx="0">
                  <c:v>4-Jan</c:v>
                </c:pt>
                <c:pt idx="1">
                  <c:v>5-Jan</c:v>
                </c:pt>
                <c:pt idx="2">
                  <c:v>6-Jan</c:v>
                </c:pt>
                <c:pt idx="3">
                  <c:v>7-Jan</c:v>
                </c:pt>
                <c:pt idx="4">
                  <c:v>8-Jan</c:v>
                </c:pt>
                <c:pt idx="5">
                  <c:v>9-Jan</c:v>
                </c:pt>
                <c:pt idx="6">
                  <c:v>10-Jan</c:v>
                </c:pt>
                <c:pt idx="7">
                  <c:v>11-Jan</c:v>
                </c:pt>
                <c:pt idx="8">
                  <c:v>12-Jan</c:v>
                </c:pt>
              </c:strCache>
            </c:strRef>
          </c:cat>
          <c:val>
            <c:numRef>
              <c:f>'Pivot Report'!$F$3:$F$12</c:f>
              <c:numCache>
                <c:formatCode>0.00</c:formatCode>
                <c:ptCount val="9"/>
                <c:pt idx="0">
                  <c:v>40.473684210526315</c:v>
                </c:pt>
                <c:pt idx="1">
                  <c:v>31.5</c:v>
                </c:pt>
                <c:pt idx="2">
                  <c:v>34.884615384615387</c:v>
                </c:pt>
                <c:pt idx="3">
                  <c:v>38.200000000000003</c:v>
                </c:pt>
                <c:pt idx="4">
                  <c:v>35.714285714285715</c:v>
                </c:pt>
                <c:pt idx="5">
                  <c:v>29.833333333333332</c:v>
                </c:pt>
                <c:pt idx="6">
                  <c:v>36.4</c:v>
                </c:pt>
                <c:pt idx="7">
                  <c:v>35.117647058823529</c:v>
                </c:pt>
                <c:pt idx="8">
                  <c:v>34.5</c:v>
                </c:pt>
              </c:numCache>
            </c:numRef>
          </c:val>
          <c:extLst>
            <c:ext xmlns:c16="http://schemas.microsoft.com/office/drawing/2014/chart" uri="{C3380CC4-5D6E-409C-BE32-E72D297353CC}">
              <c16:uniqueId val="{00000000-0038-48FC-B890-01341444E2C5}"/>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843394095"/>
        <c:axId val="1843394575"/>
      </c:areaChart>
      <c:catAx>
        <c:axId val="1843394095"/>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43394575"/>
        <c:crosses val="autoZero"/>
        <c:auto val="1"/>
        <c:lblAlgn val="ctr"/>
        <c:lblOffset val="100"/>
        <c:noMultiLvlLbl val="0"/>
      </c:catAx>
      <c:valAx>
        <c:axId val="1843394575"/>
        <c:scaling>
          <c:orientation val="minMax"/>
        </c:scaling>
        <c:delete val="1"/>
        <c:axPos val="l"/>
        <c:numFmt formatCode="0.00" sourceLinked="1"/>
        <c:majorTickMark val="out"/>
        <c:minorTickMark val="none"/>
        <c:tickLblPos val="nextTo"/>
        <c:crossAx val="184339409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Project 4.xlsx]Pivot Report!PivotTable4</c:name>
    <c:fmtId val="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Report'!$F$2</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Report'!$E$3:$E$12</c:f>
              <c:strCache>
                <c:ptCount val="9"/>
                <c:pt idx="0">
                  <c:v>4-Jan</c:v>
                </c:pt>
                <c:pt idx="1">
                  <c:v>5-Jan</c:v>
                </c:pt>
                <c:pt idx="2">
                  <c:v>6-Jan</c:v>
                </c:pt>
                <c:pt idx="3">
                  <c:v>7-Jan</c:v>
                </c:pt>
                <c:pt idx="4">
                  <c:v>8-Jan</c:v>
                </c:pt>
                <c:pt idx="5">
                  <c:v>9-Jan</c:v>
                </c:pt>
                <c:pt idx="6">
                  <c:v>10-Jan</c:v>
                </c:pt>
                <c:pt idx="7">
                  <c:v>11-Jan</c:v>
                </c:pt>
                <c:pt idx="8">
                  <c:v>12-Jan</c:v>
                </c:pt>
              </c:strCache>
            </c:strRef>
          </c:cat>
          <c:val>
            <c:numRef>
              <c:f>'Pivot Report'!$F$3:$F$12</c:f>
              <c:numCache>
                <c:formatCode>0.00</c:formatCode>
                <c:ptCount val="9"/>
                <c:pt idx="0">
                  <c:v>40.473684210526315</c:v>
                </c:pt>
                <c:pt idx="1">
                  <c:v>31.5</c:v>
                </c:pt>
                <c:pt idx="2">
                  <c:v>34.884615384615387</c:v>
                </c:pt>
                <c:pt idx="3">
                  <c:v>38.200000000000003</c:v>
                </c:pt>
                <c:pt idx="4">
                  <c:v>35.714285714285715</c:v>
                </c:pt>
                <c:pt idx="5">
                  <c:v>29.833333333333332</c:v>
                </c:pt>
                <c:pt idx="6">
                  <c:v>36.4</c:v>
                </c:pt>
                <c:pt idx="7">
                  <c:v>35.117647058823529</c:v>
                </c:pt>
                <c:pt idx="8">
                  <c:v>34.5</c:v>
                </c:pt>
              </c:numCache>
            </c:numRef>
          </c:val>
          <c:extLst>
            <c:ext xmlns:c16="http://schemas.microsoft.com/office/drawing/2014/chart" uri="{C3380CC4-5D6E-409C-BE32-E72D297353CC}">
              <c16:uniqueId val="{00000001-840B-44D1-8C68-DE2C4748445B}"/>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843382575"/>
        <c:axId val="1843382095"/>
      </c:areaChart>
      <c:catAx>
        <c:axId val="1843382575"/>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43382095"/>
        <c:crosses val="autoZero"/>
        <c:auto val="1"/>
        <c:lblAlgn val="ctr"/>
        <c:lblOffset val="100"/>
        <c:noMultiLvlLbl val="0"/>
      </c:catAx>
      <c:valAx>
        <c:axId val="1843382095"/>
        <c:scaling>
          <c:orientation val="minMax"/>
        </c:scaling>
        <c:delete val="1"/>
        <c:axPos val="l"/>
        <c:numFmt formatCode="0.00" sourceLinked="1"/>
        <c:majorTickMark val="out"/>
        <c:minorTickMark val="none"/>
        <c:tickLblPos val="nextTo"/>
        <c:crossAx val="184338257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hyperlink" Target="#'Satisfaction Score'!A1"/><Relationship Id="rId18" Type="http://schemas.openxmlformats.org/officeDocument/2006/relationships/chart" Target="../charts/chart9.xml"/><Relationship Id="rId3" Type="http://schemas.openxmlformats.org/officeDocument/2006/relationships/image" Target="../media/image4.svg"/><Relationship Id="rId7" Type="http://schemas.openxmlformats.org/officeDocument/2006/relationships/image" Target="../media/image8.svg"/><Relationship Id="rId12" Type="http://schemas.openxmlformats.org/officeDocument/2006/relationships/chart" Target="../charts/chart4.xml"/><Relationship Id="rId17" Type="http://schemas.openxmlformats.org/officeDocument/2006/relationships/chart" Target="../charts/chart8.xml"/><Relationship Id="rId2" Type="http://schemas.openxmlformats.org/officeDocument/2006/relationships/image" Target="../media/image3.png"/><Relationship Id="rId16" Type="http://schemas.openxmlformats.org/officeDocument/2006/relationships/chart" Target="../charts/chart7.xml"/><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hyperlink" Target="#'Average Wait Time Daily Trend'!A1"/><Relationship Id="rId5" Type="http://schemas.openxmlformats.org/officeDocument/2006/relationships/image" Target="../media/image6.svg"/><Relationship Id="rId15" Type="http://schemas.openxmlformats.org/officeDocument/2006/relationships/chart" Target="../charts/chart6.xml"/><Relationship Id="rId10" Type="http://schemas.openxmlformats.org/officeDocument/2006/relationships/chart" Target="../charts/chart3.xml"/><Relationship Id="rId19" Type="http://schemas.openxmlformats.org/officeDocument/2006/relationships/image" Target="../media/image9.emf"/><Relationship Id="rId4" Type="http://schemas.openxmlformats.org/officeDocument/2006/relationships/image" Target="../media/image5.png"/><Relationship Id="rId9" Type="http://schemas.openxmlformats.org/officeDocument/2006/relationships/chart" Target="../charts/chart2.xml"/><Relationship Id="rId1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2.svg"/></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1.png"/><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1.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3</xdr:col>
      <xdr:colOff>329259</xdr:colOff>
      <xdr:row>57</xdr:row>
      <xdr:rowOff>101911</xdr:rowOff>
    </xdr:from>
    <xdr:to>
      <xdr:col>5</xdr:col>
      <xdr:colOff>611481</xdr:colOff>
      <xdr:row>60</xdr:row>
      <xdr:rowOff>81998</xdr:rowOff>
    </xdr:to>
    <xdr:graphicFrame macro="">
      <xdr:nvGraphicFramePr>
        <xdr:cNvPr id="2" name="Chart 1">
          <a:extLst>
            <a:ext uri="{FF2B5EF4-FFF2-40B4-BE49-F238E27FC236}">
              <a16:creationId xmlns:a16="http://schemas.microsoft.com/office/drawing/2014/main" id="{BB47D791-81BB-1474-6BD1-6A73F93522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7840</xdr:colOff>
      <xdr:row>62</xdr:row>
      <xdr:rowOff>86234</xdr:rowOff>
    </xdr:from>
    <xdr:to>
      <xdr:col>4</xdr:col>
      <xdr:colOff>838749</xdr:colOff>
      <xdr:row>65</xdr:row>
      <xdr:rowOff>121011</xdr:rowOff>
    </xdr:to>
    <xdr:pic>
      <xdr:nvPicPr>
        <xdr:cNvPr id="8" name="Picture 7">
          <a:extLst>
            <a:ext uri="{FF2B5EF4-FFF2-40B4-BE49-F238E27FC236}">
              <a16:creationId xmlns:a16="http://schemas.microsoft.com/office/drawing/2014/main" id="{4ABC205A-09BD-43D0-8057-C488F30DAB7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9321" y="11265370"/>
          <a:ext cx="3676650" cy="5757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0</xdr:row>
      <xdr:rowOff>47308</xdr:rowOff>
    </xdr:from>
    <xdr:to>
      <xdr:col>5</xdr:col>
      <xdr:colOff>374650</xdr:colOff>
      <xdr:row>3</xdr:row>
      <xdr:rowOff>130493</xdr:rowOff>
    </xdr:to>
    <xdr:sp macro="" textlink="">
      <xdr:nvSpPr>
        <xdr:cNvPr id="2" name="Rectangle: Rounded Corners 1">
          <a:extLst>
            <a:ext uri="{FF2B5EF4-FFF2-40B4-BE49-F238E27FC236}">
              <a16:creationId xmlns:a16="http://schemas.microsoft.com/office/drawing/2014/main" id="{692C0D17-E55B-B93A-63E1-351D9AD56462}"/>
            </a:ext>
          </a:extLst>
        </xdr:cNvPr>
        <xdr:cNvSpPr/>
      </xdr:nvSpPr>
      <xdr:spPr>
        <a:xfrm>
          <a:off x="38100" y="47308"/>
          <a:ext cx="3384550" cy="635635"/>
        </a:xfrm>
        <a:prstGeom prst="roundRect">
          <a:avLst>
            <a:gd name="adj" fmla="val 967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419100</xdr:colOff>
      <xdr:row>0</xdr:row>
      <xdr:rowOff>53658</xdr:rowOff>
    </xdr:from>
    <xdr:to>
      <xdr:col>8</xdr:col>
      <xdr:colOff>57150</xdr:colOff>
      <xdr:row>3</xdr:row>
      <xdr:rowOff>136843</xdr:rowOff>
    </xdr:to>
    <xdr:sp macro="" textlink="">
      <xdr:nvSpPr>
        <xdr:cNvPr id="3" name="Rectangle: Rounded Corners 2">
          <a:extLst>
            <a:ext uri="{FF2B5EF4-FFF2-40B4-BE49-F238E27FC236}">
              <a16:creationId xmlns:a16="http://schemas.microsoft.com/office/drawing/2014/main" id="{D8CB4269-51C3-FA82-D82F-5ACC33B99346}"/>
            </a:ext>
          </a:extLst>
        </xdr:cNvPr>
        <xdr:cNvSpPr/>
      </xdr:nvSpPr>
      <xdr:spPr>
        <a:xfrm>
          <a:off x="3467100" y="53658"/>
          <a:ext cx="1466850" cy="635635"/>
        </a:xfrm>
        <a:prstGeom prst="roundRect">
          <a:avLst>
            <a:gd name="adj" fmla="val 967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95250</xdr:colOff>
      <xdr:row>0</xdr:row>
      <xdr:rowOff>47308</xdr:rowOff>
    </xdr:from>
    <xdr:to>
      <xdr:col>10</xdr:col>
      <xdr:colOff>520700</xdr:colOff>
      <xdr:row>8</xdr:row>
      <xdr:rowOff>44450</xdr:rowOff>
    </xdr:to>
    <xdr:sp macro="" textlink="">
      <xdr:nvSpPr>
        <xdr:cNvPr id="4" name="Rectangle: Rounded Corners 3">
          <a:extLst>
            <a:ext uri="{FF2B5EF4-FFF2-40B4-BE49-F238E27FC236}">
              <a16:creationId xmlns:a16="http://schemas.microsoft.com/office/drawing/2014/main" id="{488C4F76-F792-31A0-2B19-9B8E16777BC5}"/>
            </a:ext>
          </a:extLst>
        </xdr:cNvPr>
        <xdr:cNvSpPr/>
      </xdr:nvSpPr>
      <xdr:spPr>
        <a:xfrm>
          <a:off x="4972050" y="47308"/>
          <a:ext cx="1644650" cy="1470342"/>
        </a:xfrm>
        <a:prstGeom prst="roundRect">
          <a:avLst>
            <a:gd name="adj" fmla="val 6219"/>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565150</xdr:colOff>
      <xdr:row>0</xdr:row>
      <xdr:rowOff>47308</xdr:rowOff>
    </xdr:from>
    <xdr:to>
      <xdr:col>13</xdr:col>
      <xdr:colOff>381000</xdr:colOff>
      <xdr:row>8</xdr:row>
      <xdr:rowOff>44450</xdr:rowOff>
    </xdr:to>
    <xdr:sp macro="" textlink="">
      <xdr:nvSpPr>
        <xdr:cNvPr id="5" name="Rectangle: Rounded Corners 4">
          <a:extLst>
            <a:ext uri="{FF2B5EF4-FFF2-40B4-BE49-F238E27FC236}">
              <a16:creationId xmlns:a16="http://schemas.microsoft.com/office/drawing/2014/main" id="{662B0AB2-959F-431C-039E-7B933FA8B3CD}"/>
            </a:ext>
          </a:extLst>
        </xdr:cNvPr>
        <xdr:cNvSpPr/>
      </xdr:nvSpPr>
      <xdr:spPr>
        <a:xfrm>
          <a:off x="6661150" y="47308"/>
          <a:ext cx="1644650" cy="1470342"/>
        </a:xfrm>
        <a:prstGeom prst="roundRect">
          <a:avLst>
            <a:gd name="adj" fmla="val 4923"/>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57150</xdr:colOff>
      <xdr:row>4</xdr:row>
      <xdr:rowOff>9208</xdr:rowOff>
    </xdr:from>
    <xdr:to>
      <xdr:col>1</xdr:col>
      <xdr:colOff>349250</xdr:colOff>
      <xdr:row>25</xdr:row>
      <xdr:rowOff>19050</xdr:rowOff>
    </xdr:to>
    <xdr:sp macro="" textlink="">
      <xdr:nvSpPr>
        <xdr:cNvPr id="6" name="Rectangle: Rounded Corners 5">
          <a:extLst>
            <a:ext uri="{FF2B5EF4-FFF2-40B4-BE49-F238E27FC236}">
              <a16:creationId xmlns:a16="http://schemas.microsoft.com/office/drawing/2014/main" id="{8907C234-29CB-4A10-A67B-44DDA3704E5C}"/>
            </a:ext>
          </a:extLst>
        </xdr:cNvPr>
        <xdr:cNvSpPr/>
      </xdr:nvSpPr>
      <xdr:spPr>
        <a:xfrm>
          <a:off x="57150" y="745808"/>
          <a:ext cx="901700" cy="3876992"/>
        </a:xfrm>
        <a:prstGeom prst="roundRect">
          <a:avLst>
            <a:gd name="adj" fmla="val 967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387350</xdr:colOff>
      <xdr:row>4</xdr:row>
      <xdr:rowOff>12700</xdr:rowOff>
    </xdr:from>
    <xdr:to>
      <xdr:col>3</xdr:col>
      <xdr:colOff>469900</xdr:colOff>
      <xdr:row>8</xdr:row>
      <xdr:rowOff>25400</xdr:rowOff>
    </xdr:to>
    <xdr:sp macro="" textlink="">
      <xdr:nvSpPr>
        <xdr:cNvPr id="7" name="Rectangle: Rounded Corners 6">
          <a:extLst>
            <a:ext uri="{FF2B5EF4-FFF2-40B4-BE49-F238E27FC236}">
              <a16:creationId xmlns:a16="http://schemas.microsoft.com/office/drawing/2014/main" id="{EB5610FF-8196-4464-BD7E-7C6D128065F2}"/>
            </a:ext>
          </a:extLst>
        </xdr:cNvPr>
        <xdr:cNvSpPr/>
      </xdr:nvSpPr>
      <xdr:spPr>
        <a:xfrm>
          <a:off x="996950" y="749300"/>
          <a:ext cx="1301750" cy="749300"/>
        </a:xfrm>
        <a:prstGeom prst="roundRect">
          <a:avLst>
            <a:gd name="adj" fmla="val 967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488950</xdr:colOff>
      <xdr:row>4</xdr:row>
      <xdr:rowOff>12700</xdr:rowOff>
    </xdr:from>
    <xdr:to>
      <xdr:col>5</xdr:col>
      <xdr:colOff>571500</xdr:colOff>
      <xdr:row>8</xdr:row>
      <xdr:rowOff>25400</xdr:rowOff>
    </xdr:to>
    <xdr:sp macro="" textlink="">
      <xdr:nvSpPr>
        <xdr:cNvPr id="20" name="Rectangle: Rounded Corners 19">
          <a:extLst>
            <a:ext uri="{FF2B5EF4-FFF2-40B4-BE49-F238E27FC236}">
              <a16:creationId xmlns:a16="http://schemas.microsoft.com/office/drawing/2014/main" id="{29A06D63-3C76-C629-2D5B-B28F18CE7150}"/>
            </a:ext>
          </a:extLst>
        </xdr:cNvPr>
        <xdr:cNvSpPr/>
      </xdr:nvSpPr>
      <xdr:spPr>
        <a:xfrm>
          <a:off x="2317750" y="749300"/>
          <a:ext cx="1301750" cy="749300"/>
        </a:xfrm>
        <a:prstGeom prst="roundRect">
          <a:avLst>
            <a:gd name="adj" fmla="val 967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590550</xdr:colOff>
      <xdr:row>4</xdr:row>
      <xdr:rowOff>12700</xdr:rowOff>
    </xdr:from>
    <xdr:to>
      <xdr:col>8</xdr:col>
      <xdr:colOff>63500</xdr:colOff>
      <xdr:row>8</xdr:row>
      <xdr:rowOff>31750</xdr:rowOff>
    </xdr:to>
    <xdr:sp macro="" textlink="">
      <xdr:nvSpPr>
        <xdr:cNvPr id="21" name="Rectangle: Rounded Corners 20">
          <a:extLst>
            <a:ext uri="{FF2B5EF4-FFF2-40B4-BE49-F238E27FC236}">
              <a16:creationId xmlns:a16="http://schemas.microsoft.com/office/drawing/2014/main" id="{BBC6575B-B960-2BF9-8437-D55CA9B7C051}"/>
            </a:ext>
          </a:extLst>
        </xdr:cNvPr>
        <xdr:cNvSpPr/>
      </xdr:nvSpPr>
      <xdr:spPr>
        <a:xfrm>
          <a:off x="3638550" y="749300"/>
          <a:ext cx="1301750" cy="755650"/>
        </a:xfrm>
        <a:prstGeom prst="roundRect">
          <a:avLst>
            <a:gd name="adj" fmla="val 967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387350</xdr:colOff>
      <xdr:row>8</xdr:row>
      <xdr:rowOff>69850</xdr:rowOff>
    </xdr:from>
    <xdr:to>
      <xdr:col>8</xdr:col>
      <xdr:colOff>76200</xdr:colOff>
      <xdr:row>12</xdr:row>
      <xdr:rowOff>82550</xdr:rowOff>
    </xdr:to>
    <xdr:sp macro="" textlink="">
      <xdr:nvSpPr>
        <xdr:cNvPr id="23" name="Rectangle: Rounded Corners 22">
          <a:extLst>
            <a:ext uri="{FF2B5EF4-FFF2-40B4-BE49-F238E27FC236}">
              <a16:creationId xmlns:a16="http://schemas.microsoft.com/office/drawing/2014/main" id="{407A7A8E-50D4-B134-0A13-A7AD0182D018}"/>
            </a:ext>
          </a:extLst>
        </xdr:cNvPr>
        <xdr:cNvSpPr/>
      </xdr:nvSpPr>
      <xdr:spPr>
        <a:xfrm>
          <a:off x="996950" y="1543050"/>
          <a:ext cx="3956050" cy="749300"/>
        </a:xfrm>
        <a:prstGeom prst="roundRect">
          <a:avLst>
            <a:gd name="adj" fmla="val 967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387350</xdr:colOff>
      <xdr:row>12</xdr:row>
      <xdr:rowOff>139700</xdr:rowOff>
    </xdr:from>
    <xdr:to>
      <xdr:col>8</xdr:col>
      <xdr:colOff>76200</xdr:colOff>
      <xdr:row>25</xdr:row>
      <xdr:rowOff>12700</xdr:rowOff>
    </xdr:to>
    <xdr:sp macro="" textlink="">
      <xdr:nvSpPr>
        <xdr:cNvPr id="24" name="Rectangle: Rounded Corners 23">
          <a:extLst>
            <a:ext uri="{FF2B5EF4-FFF2-40B4-BE49-F238E27FC236}">
              <a16:creationId xmlns:a16="http://schemas.microsoft.com/office/drawing/2014/main" id="{C01713DD-4E65-4EA6-F1E3-031ACF57EEDD}"/>
            </a:ext>
          </a:extLst>
        </xdr:cNvPr>
        <xdr:cNvSpPr/>
      </xdr:nvSpPr>
      <xdr:spPr>
        <a:xfrm>
          <a:off x="996950" y="2349500"/>
          <a:ext cx="3956050" cy="2266950"/>
        </a:xfrm>
        <a:prstGeom prst="roundRect">
          <a:avLst>
            <a:gd name="adj" fmla="val 407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107950</xdr:colOff>
      <xdr:row>8</xdr:row>
      <xdr:rowOff>101600</xdr:rowOff>
    </xdr:from>
    <xdr:to>
      <xdr:col>13</xdr:col>
      <xdr:colOff>393700</xdr:colOff>
      <xdr:row>25</xdr:row>
      <xdr:rowOff>12700</xdr:rowOff>
    </xdr:to>
    <xdr:sp macro="" textlink="">
      <xdr:nvSpPr>
        <xdr:cNvPr id="25" name="Rectangle: Rounded Corners 24">
          <a:extLst>
            <a:ext uri="{FF2B5EF4-FFF2-40B4-BE49-F238E27FC236}">
              <a16:creationId xmlns:a16="http://schemas.microsoft.com/office/drawing/2014/main" id="{70095156-228E-A348-60EF-46F34E1396D9}"/>
            </a:ext>
          </a:extLst>
        </xdr:cNvPr>
        <xdr:cNvSpPr/>
      </xdr:nvSpPr>
      <xdr:spPr>
        <a:xfrm>
          <a:off x="4984750" y="1574800"/>
          <a:ext cx="3333750" cy="3041650"/>
        </a:xfrm>
        <a:prstGeom prst="roundRect">
          <a:avLst>
            <a:gd name="adj" fmla="val 382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xdr:col>
      <xdr:colOff>323850</xdr:colOff>
      <xdr:row>0</xdr:row>
      <xdr:rowOff>105860</xdr:rowOff>
    </xdr:from>
    <xdr:ext cx="2374900" cy="516440"/>
    <xdr:sp macro="" textlink="">
      <xdr:nvSpPr>
        <xdr:cNvPr id="26" name="Rectangle 25">
          <a:extLst>
            <a:ext uri="{FF2B5EF4-FFF2-40B4-BE49-F238E27FC236}">
              <a16:creationId xmlns:a16="http://schemas.microsoft.com/office/drawing/2014/main" id="{616D0506-2964-24A5-D206-133CD901DBDE}"/>
            </a:ext>
          </a:extLst>
        </xdr:cNvPr>
        <xdr:cNvSpPr/>
      </xdr:nvSpPr>
      <xdr:spPr>
        <a:xfrm>
          <a:off x="933450" y="105860"/>
          <a:ext cx="2374900" cy="516440"/>
        </a:xfrm>
        <a:prstGeom prst="rect">
          <a:avLst/>
        </a:prstGeom>
        <a:noFill/>
      </xdr:spPr>
      <xdr:txBody>
        <a:bodyPr wrap="square" lIns="91440" tIns="45720" rIns="91440" bIns="45720">
          <a:noAutofit/>
        </a:bodyPr>
        <a:lstStyle/>
        <a:p>
          <a:pPr algn="ctr"/>
          <a:r>
            <a:rPr lang="en-US" sz="1100" b="1" cap="none" spc="0">
              <a:ln w="0"/>
              <a:solidFill>
                <a:schemeClr val="tx1"/>
              </a:solidFill>
              <a:effectLst>
                <a:outerShdw blurRad="38100" dist="19050" dir="2700000" algn="tl" rotWithShape="0">
                  <a:schemeClr val="dk1">
                    <a:alpha val="40000"/>
                  </a:schemeClr>
                </a:outerShdw>
              </a:effectLst>
            </a:rPr>
            <a:t>Hospital</a:t>
          </a:r>
          <a:r>
            <a:rPr lang="en-US" sz="1100" b="1" cap="none" spc="0" baseline="0">
              <a:ln w="0"/>
              <a:solidFill>
                <a:schemeClr val="tx1"/>
              </a:solidFill>
              <a:effectLst>
                <a:outerShdw blurRad="38100" dist="19050" dir="2700000" algn="tl" rotWithShape="0">
                  <a:schemeClr val="dk1">
                    <a:alpha val="40000"/>
                  </a:schemeClr>
                </a:outerShdw>
              </a:effectLst>
            </a:rPr>
            <a:t> Emergency Room Dashboard</a:t>
          </a:r>
        </a:p>
        <a:p>
          <a:pPr algn="ctr"/>
          <a:r>
            <a:rPr lang="en-US" sz="1100" b="0" cap="none" spc="0">
              <a:ln w="0"/>
              <a:solidFill>
                <a:schemeClr val="tx1"/>
              </a:solidFill>
              <a:effectLst>
                <a:outerShdw blurRad="38100" dist="19050" dir="2700000" algn="tl" rotWithShape="0">
                  <a:schemeClr val="dk1">
                    <a:alpha val="40000"/>
                  </a:schemeClr>
                </a:outerShdw>
              </a:effectLst>
            </a:rPr>
            <a:t>Monthly</a:t>
          </a:r>
          <a:r>
            <a:rPr lang="en-US" sz="1100" b="0" cap="none" spc="0" baseline="0">
              <a:ln w="0"/>
              <a:solidFill>
                <a:schemeClr val="tx1"/>
              </a:solidFill>
              <a:effectLst>
                <a:outerShdw blurRad="38100" dist="19050" dir="2700000" algn="tl" rotWithShape="0">
                  <a:schemeClr val="dk1">
                    <a:alpha val="40000"/>
                  </a:schemeClr>
                </a:outerShdw>
              </a:effectLst>
            </a:rPr>
            <a:t> Report</a:t>
          </a:r>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editAs="oneCell">
    <xdr:from>
      <xdr:col>0</xdr:col>
      <xdr:colOff>38100</xdr:colOff>
      <xdr:row>0</xdr:row>
      <xdr:rowOff>69850</xdr:rowOff>
    </xdr:from>
    <xdr:to>
      <xdr:col>1</xdr:col>
      <xdr:colOff>381000</xdr:colOff>
      <xdr:row>3</xdr:row>
      <xdr:rowOff>46251</xdr:rowOff>
    </xdr:to>
    <xdr:pic>
      <xdr:nvPicPr>
        <xdr:cNvPr id="28" name="Picture 27">
          <a:extLst>
            <a:ext uri="{FF2B5EF4-FFF2-40B4-BE49-F238E27FC236}">
              <a16:creationId xmlns:a16="http://schemas.microsoft.com/office/drawing/2014/main" id="{B3967B8D-3CE0-8AF7-74AD-8C4DB3DF6B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00" y="69850"/>
          <a:ext cx="952500" cy="528851"/>
        </a:xfrm>
        <a:prstGeom prst="rect">
          <a:avLst/>
        </a:prstGeom>
      </xdr:spPr>
    </xdr:pic>
    <xdr:clientData/>
  </xdr:twoCellAnchor>
  <xdr:oneCellAnchor>
    <xdr:from>
      <xdr:col>1</xdr:col>
      <xdr:colOff>279592</xdr:colOff>
      <xdr:row>5</xdr:row>
      <xdr:rowOff>99510</xdr:rowOff>
    </xdr:from>
    <xdr:ext cx="1269616" cy="281490"/>
    <xdr:sp macro="" textlink="">
      <xdr:nvSpPr>
        <xdr:cNvPr id="32" name="Rectangle 31">
          <a:extLst>
            <a:ext uri="{FF2B5EF4-FFF2-40B4-BE49-F238E27FC236}">
              <a16:creationId xmlns:a16="http://schemas.microsoft.com/office/drawing/2014/main" id="{88DD8690-D92E-49B9-A94D-5329FC624B31}"/>
            </a:ext>
          </a:extLst>
        </xdr:cNvPr>
        <xdr:cNvSpPr/>
      </xdr:nvSpPr>
      <xdr:spPr>
        <a:xfrm>
          <a:off x="889192" y="1020260"/>
          <a:ext cx="1269616" cy="281490"/>
        </a:xfrm>
        <a:prstGeom prst="rect">
          <a:avLst/>
        </a:prstGeom>
        <a:noFill/>
      </xdr:spPr>
      <xdr:txBody>
        <a:bodyPr wrap="square" lIns="91440" tIns="45720" rIns="91440" bIns="45720">
          <a:noAutofit/>
        </a:bodyPr>
        <a:lstStyle/>
        <a:p>
          <a:pPr algn="ctr"/>
          <a:r>
            <a:rPr lang="en-US" sz="800" b="1" cap="none" spc="0">
              <a:ln w="0"/>
              <a:solidFill>
                <a:schemeClr val="tx1"/>
              </a:solidFill>
              <a:effectLst>
                <a:outerShdw blurRad="38100" dist="19050" dir="2700000" algn="tl" rotWithShape="0">
                  <a:schemeClr val="dk1">
                    <a:alpha val="40000"/>
                  </a:schemeClr>
                </a:outerShdw>
              </a:effectLst>
            </a:rPr>
            <a:t>No.</a:t>
          </a:r>
          <a:r>
            <a:rPr lang="en-US" sz="800" b="1" cap="none" spc="0" baseline="0">
              <a:ln w="0"/>
              <a:solidFill>
                <a:schemeClr val="tx1"/>
              </a:solidFill>
              <a:effectLst>
                <a:outerShdw blurRad="38100" dist="19050" dir="2700000" algn="tl" rotWithShape="0">
                  <a:schemeClr val="dk1">
                    <a:alpha val="40000"/>
                  </a:schemeClr>
                </a:outerShdw>
              </a:effectLst>
            </a:rPr>
            <a:t> of Patient</a:t>
          </a:r>
          <a:endParaRPr lang="en-US" sz="800" b="1"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xdr:col>
      <xdr:colOff>318521</xdr:colOff>
      <xdr:row>4</xdr:row>
      <xdr:rowOff>50800</xdr:rowOff>
    </xdr:from>
    <xdr:ext cx="1185408" cy="304800"/>
    <xdr:sp macro="" textlink="'Pivot Report'!B6">
      <xdr:nvSpPr>
        <xdr:cNvPr id="33" name="Rectangle 32">
          <a:extLst>
            <a:ext uri="{FF2B5EF4-FFF2-40B4-BE49-F238E27FC236}">
              <a16:creationId xmlns:a16="http://schemas.microsoft.com/office/drawing/2014/main" id="{1465D918-BA6A-4CE4-8967-9500C1E267E6}"/>
            </a:ext>
          </a:extLst>
        </xdr:cNvPr>
        <xdr:cNvSpPr/>
      </xdr:nvSpPr>
      <xdr:spPr>
        <a:xfrm>
          <a:off x="928121" y="787400"/>
          <a:ext cx="1185408" cy="304800"/>
        </a:xfrm>
        <a:prstGeom prst="rect">
          <a:avLst/>
        </a:prstGeom>
        <a:noFill/>
      </xdr:spPr>
      <xdr:txBody>
        <a:bodyPr wrap="square" lIns="91440" tIns="45720" rIns="91440" bIns="45720">
          <a:noAutofit/>
        </a:bodyPr>
        <a:lstStyle/>
        <a:p>
          <a:pPr algn="ctr"/>
          <a:fld id="{F08B9B86-B973-443D-99C2-24A4C91D8526}" type="TxLink">
            <a:rPr lang="en-US" sz="1100" b="0" i="0" u="none" strike="noStrike" cap="none" spc="0" baseline="0">
              <a:ln w="0"/>
              <a:solidFill>
                <a:srgbClr val="000000"/>
              </a:solidFill>
              <a:effectLst>
                <a:outerShdw blurRad="38100" dist="19050" dir="2700000" algn="tl" rotWithShape="0">
                  <a:schemeClr val="dk1">
                    <a:alpha val="40000"/>
                  </a:schemeClr>
                </a:outerShdw>
              </a:effectLst>
              <a:latin typeface="Calibri"/>
              <a:ea typeface="Calibri"/>
              <a:cs typeface="Calibri"/>
            </a:rPr>
            <a:pPr algn="ctr"/>
            <a:t>154</a:t>
          </a:fld>
          <a:endParaRPr lang="en-US" sz="1100" b="1" cap="none" spc="0" baseline="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5</xdr:col>
      <xdr:colOff>552450</xdr:colOff>
      <xdr:row>5</xdr:row>
      <xdr:rowOff>105860</xdr:rowOff>
    </xdr:from>
    <xdr:ext cx="1307908" cy="281490"/>
    <xdr:sp macro="" textlink="">
      <xdr:nvSpPr>
        <xdr:cNvPr id="37" name="Rectangle 36">
          <a:extLst>
            <a:ext uri="{FF2B5EF4-FFF2-40B4-BE49-F238E27FC236}">
              <a16:creationId xmlns:a16="http://schemas.microsoft.com/office/drawing/2014/main" id="{6EC10A07-64E4-9030-1105-3FFBF251F4B2}"/>
            </a:ext>
          </a:extLst>
        </xdr:cNvPr>
        <xdr:cNvSpPr/>
      </xdr:nvSpPr>
      <xdr:spPr>
        <a:xfrm>
          <a:off x="3600450" y="1026610"/>
          <a:ext cx="1307908" cy="281490"/>
        </a:xfrm>
        <a:prstGeom prst="rect">
          <a:avLst/>
        </a:prstGeom>
        <a:noFill/>
      </xdr:spPr>
      <xdr:txBody>
        <a:bodyPr wrap="square" lIns="91440" tIns="45720" rIns="91440" bIns="45720">
          <a:noAutofit/>
        </a:bodyPr>
        <a:lstStyle/>
        <a:p>
          <a:pPr algn="ctr"/>
          <a:r>
            <a:rPr lang="en-US" sz="800" b="1" cap="none" spc="0" baseline="0">
              <a:ln w="0"/>
              <a:solidFill>
                <a:schemeClr val="tx1"/>
              </a:solidFill>
              <a:effectLst>
                <a:outerShdw blurRad="38100" dist="19050" dir="2700000" algn="tl" rotWithShape="0">
                  <a:schemeClr val="dk1">
                    <a:alpha val="40000"/>
                  </a:schemeClr>
                </a:outerShdw>
              </a:effectLst>
            </a:rPr>
            <a:t>Patient Satisfaction Score</a:t>
          </a:r>
          <a:endParaRPr lang="en-US" sz="800" b="1"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5</xdr:col>
      <xdr:colOff>439171</xdr:colOff>
      <xdr:row>4</xdr:row>
      <xdr:rowOff>57150</xdr:rowOff>
    </xdr:from>
    <xdr:ext cx="1185408" cy="304800"/>
    <xdr:sp macro="" textlink="'Pivot Report'!B14">
      <xdr:nvSpPr>
        <xdr:cNvPr id="38" name="Rectangle 37">
          <a:extLst>
            <a:ext uri="{FF2B5EF4-FFF2-40B4-BE49-F238E27FC236}">
              <a16:creationId xmlns:a16="http://schemas.microsoft.com/office/drawing/2014/main" id="{44A4DEFE-248C-01C5-5894-02FAC5BB3F36}"/>
            </a:ext>
          </a:extLst>
        </xdr:cNvPr>
        <xdr:cNvSpPr/>
      </xdr:nvSpPr>
      <xdr:spPr>
        <a:xfrm>
          <a:off x="3487171" y="793750"/>
          <a:ext cx="1185408" cy="304800"/>
        </a:xfrm>
        <a:prstGeom prst="rect">
          <a:avLst/>
        </a:prstGeom>
        <a:noFill/>
      </xdr:spPr>
      <xdr:txBody>
        <a:bodyPr wrap="square" lIns="91440" tIns="45720" rIns="91440" bIns="45720">
          <a:noAutofit/>
        </a:bodyPr>
        <a:lstStyle/>
        <a:p>
          <a:pPr algn="ctr"/>
          <a:fld id="{E39C9A01-5D08-4E73-9846-268348470A68}" type="TxLink">
            <a:rPr lang="en-US" sz="1100" b="0" i="0" u="none" strike="noStrike" cap="none" spc="0" baseline="0">
              <a:ln w="0"/>
              <a:solidFill>
                <a:srgbClr val="000000"/>
              </a:solidFill>
              <a:effectLst>
                <a:outerShdw blurRad="38100" dist="19050" dir="2700000" algn="tl" rotWithShape="0">
                  <a:schemeClr val="dk1">
                    <a:alpha val="40000"/>
                  </a:schemeClr>
                </a:outerShdw>
              </a:effectLst>
              <a:latin typeface="Calibri"/>
              <a:ea typeface="Calibri"/>
              <a:cs typeface="Calibri"/>
            </a:rPr>
            <a:pPr algn="ctr"/>
            <a:t>4.80</a:t>
          </a:fld>
          <a:endParaRPr lang="en-US" sz="1100" b="1" cap="none" spc="0" baseline="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3</xdr:col>
      <xdr:colOff>400242</xdr:colOff>
      <xdr:row>5</xdr:row>
      <xdr:rowOff>99510</xdr:rowOff>
    </xdr:from>
    <xdr:ext cx="1269616" cy="281490"/>
    <xdr:sp macro="" textlink="">
      <xdr:nvSpPr>
        <xdr:cNvPr id="45" name="Rectangle 44">
          <a:extLst>
            <a:ext uri="{FF2B5EF4-FFF2-40B4-BE49-F238E27FC236}">
              <a16:creationId xmlns:a16="http://schemas.microsoft.com/office/drawing/2014/main" id="{035B6A3E-9128-CE7B-70CE-ABEA11FECF3D}"/>
            </a:ext>
          </a:extLst>
        </xdr:cNvPr>
        <xdr:cNvSpPr/>
      </xdr:nvSpPr>
      <xdr:spPr>
        <a:xfrm>
          <a:off x="2229042" y="1020260"/>
          <a:ext cx="1269616" cy="281490"/>
        </a:xfrm>
        <a:prstGeom prst="rect">
          <a:avLst/>
        </a:prstGeom>
        <a:noFill/>
      </xdr:spPr>
      <xdr:txBody>
        <a:bodyPr wrap="square" lIns="91440" tIns="45720" rIns="91440" bIns="45720">
          <a:noAutofit/>
        </a:bodyPr>
        <a:lstStyle/>
        <a:p>
          <a:pPr algn="ctr"/>
          <a:r>
            <a:rPr lang="en-US" sz="800" b="1" i="0" u="none" cap="none" spc="0">
              <a:ln w="0"/>
              <a:solidFill>
                <a:schemeClr val="tx1"/>
              </a:solidFill>
              <a:effectLst>
                <a:outerShdw blurRad="38100" dist="19050" dir="2700000" algn="tl" rotWithShape="0">
                  <a:schemeClr val="dk1">
                    <a:alpha val="40000"/>
                  </a:schemeClr>
                </a:outerShdw>
              </a:effectLst>
            </a:rPr>
            <a:t>Average</a:t>
          </a:r>
          <a:r>
            <a:rPr lang="en-US" sz="800" b="1" i="0" u="none" cap="none" spc="0" baseline="0">
              <a:ln w="0"/>
              <a:solidFill>
                <a:schemeClr val="tx1"/>
              </a:solidFill>
              <a:effectLst>
                <a:outerShdw blurRad="38100" dist="19050" dir="2700000" algn="tl" rotWithShape="0">
                  <a:schemeClr val="dk1">
                    <a:alpha val="40000"/>
                  </a:schemeClr>
                </a:outerShdw>
              </a:effectLst>
            </a:rPr>
            <a:t> Wait Time</a:t>
          </a:r>
        </a:p>
        <a:p>
          <a:pPr algn="ctr"/>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3</xdr:col>
      <xdr:colOff>439171</xdr:colOff>
      <xdr:row>4</xdr:row>
      <xdr:rowOff>63500</xdr:rowOff>
    </xdr:from>
    <xdr:ext cx="1185408" cy="304800"/>
    <xdr:sp macro="" textlink="'Pivot Report'!B10">
      <xdr:nvSpPr>
        <xdr:cNvPr id="46" name="Rectangle 45">
          <a:extLst>
            <a:ext uri="{FF2B5EF4-FFF2-40B4-BE49-F238E27FC236}">
              <a16:creationId xmlns:a16="http://schemas.microsoft.com/office/drawing/2014/main" id="{96389B06-86CA-5B26-C709-B748DBF99AD0}"/>
            </a:ext>
          </a:extLst>
        </xdr:cNvPr>
        <xdr:cNvSpPr/>
      </xdr:nvSpPr>
      <xdr:spPr>
        <a:xfrm>
          <a:off x="2267971" y="800100"/>
          <a:ext cx="1185408" cy="304800"/>
        </a:xfrm>
        <a:prstGeom prst="rect">
          <a:avLst/>
        </a:prstGeom>
        <a:noFill/>
      </xdr:spPr>
      <xdr:txBody>
        <a:bodyPr wrap="square" lIns="91440" tIns="45720" rIns="91440" bIns="45720">
          <a:noAutofit/>
        </a:bodyPr>
        <a:lstStyle/>
        <a:p>
          <a:pPr algn="ctr"/>
          <a:fld id="{96B91477-F71F-4E51-AC3C-17CD3277E045}" type="TxLink">
            <a:rPr lang="en-US" sz="1100" b="0" i="0" u="none" strike="noStrike" cap="none" spc="0" baseline="0">
              <a:ln w="0"/>
              <a:solidFill>
                <a:srgbClr val="000000"/>
              </a:solidFill>
              <a:effectLst>
                <a:outerShdw blurRad="38100" dist="19050" dir="2700000" algn="tl" rotWithShape="0">
                  <a:schemeClr val="dk1">
                    <a:alpha val="40000"/>
                  </a:schemeClr>
                </a:outerShdw>
              </a:effectLst>
              <a:latin typeface="Calibri"/>
              <a:ea typeface="Calibri"/>
              <a:cs typeface="Calibri"/>
            </a:rPr>
            <a:pPr algn="ctr"/>
            <a:t>35.27</a:t>
          </a:fld>
          <a:endParaRPr lang="en-US" sz="1100" b="1" cap="none" spc="0" baseline="0">
            <a:ln w="0"/>
            <a:solidFill>
              <a:schemeClr val="tx1"/>
            </a:solidFill>
            <a:effectLst>
              <a:outerShdw blurRad="38100" dist="19050" dir="2700000" algn="tl" rotWithShape="0">
                <a:schemeClr val="dk1">
                  <a:alpha val="40000"/>
                </a:schemeClr>
              </a:outerShdw>
            </a:effectLst>
          </a:endParaRPr>
        </a:p>
      </xdr:txBody>
    </xdr:sp>
    <xdr:clientData/>
  </xdr:oneCellAnchor>
  <xdr:twoCellAnchor editAs="oneCell">
    <xdr:from>
      <xdr:col>3</xdr:col>
      <xdr:colOff>95250</xdr:colOff>
      <xdr:row>4</xdr:row>
      <xdr:rowOff>31750</xdr:rowOff>
    </xdr:from>
    <xdr:to>
      <xdr:col>3</xdr:col>
      <xdr:colOff>425450</xdr:colOff>
      <xdr:row>5</xdr:row>
      <xdr:rowOff>177800</xdr:rowOff>
    </xdr:to>
    <xdr:pic>
      <xdr:nvPicPr>
        <xdr:cNvPr id="48" name="Graphic 47" descr="Male profile with solid fill">
          <a:extLst>
            <a:ext uri="{FF2B5EF4-FFF2-40B4-BE49-F238E27FC236}">
              <a16:creationId xmlns:a16="http://schemas.microsoft.com/office/drawing/2014/main" id="{DEB6EC32-AF1E-368F-E363-25D2C4E8A40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924050" y="768350"/>
          <a:ext cx="330200" cy="330200"/>
        </a:xfrm>
        <a:prstGeom prst="rect">
          <a:avLst/>
        </a:prstGeom>
      </xdr:spPr>
    </xdr:pic>
    <xdr:clientData/>
  </xdr:twoCellAnchor>
  <xdr:twoCellAnchor editAs="oneCell">
    <xdr:from>
      <xdr:col>7</xdr:col>
      <xdr:colOff>304800</xdr:colOff>
      <xdr:row>4</xdr:row>
      <xdr:rowOff>38100</xdr:rowOff>
    </xdr:from>
    <xdr:to>
      <xdr:col>8</xdr:col>
      <xdr:colOff>0</xdr:colOff>
      <xdr:row>5</xdr:row>
      <xdr:rowOff>158750</xdr:rowOff>
    </xdr:to>
    <xdr:pic>
      <xdr:nvPicPr>
        <xdr:cNvPr id="50" name="Graphic 49" descr="Customer review with solid fill">
          <a:extLst>
            <a:ext uri="{FF2B5EF4-FFF2-40B4-BE49-F238E27FC236}">
              <a16:creationId xmlns:a16="http://schemas.microsoft.com/office/drawing/2014/main" id="{01133456-08FB-BE61-A311-EE0AAF734836}"/>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572000" y="774700"/>
          <a:ext cx="304800" cy="304800"/>
        </a:xfrm>
        <a:prstGeom prst="rect">
          <a:avLst/>
        </a:prstGeom>
      </xdr:spPr>
    </xdr:pic>
    <xdr:clientData/>
  </xdr:twoCellAnchor>
  <xdr:twoCellAnchor editAs="oneCell">
    <xdr:from>
      <xdr:col>5</xdr:col>
      <xdr:colOff>208106</xdr:colOff>
      <xdr:row>4</xdr:row>
      <xdr:rowOff>63499</xdr:rowOff>
    </xdr:from>
    <xdr:to>
      <xdr:col>5</xdr:col>
      <xdr:colOff>548096</xdr:colOff>
      <xdr:row>5</xdr:row>
      <xdr:rowOff>171450</xdr:rowOff>
    </xdr:to>
    <xdr:pic>
      <xdr:nvPicPr>
        <xdr:cNvPr id="52" name="Graphic 51" descr="Hourglass Finished with solid fill">
          <a:extLst>
            <a:ext uri="{FF2B5EF4-FFF2-40B4-BE49-F238E27FC236}">
              <a16:creationId xmlns:a16="http://schemas.microsoft.com/office/drawing/2014/main" id="{CF67749F-E532-77A6-AF40-C44427C57D9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6106" y="800099"/>
          <a:ext cx="339990" cy="292101"/>
        </a:xfrm>
        <a:prstGeom prst="rect">
          <a:avLst/>
        </a:prstGeom>
      </xdr:spPr>
    </xdr:pic>
    <xdr:clientData/>
  </xdr:twoCellAnchor>
  <xdr:twoCellAnchor editAs="oneCell">
    <xdr:from>
      <xdr:col>0</xdr:col>
      <xdr:colOff>101600</xdr:colOff>
      <xdr:row>4</xdr:row>
      <xdr:rowOff>44450</xdr:rowOff>
    </xdr:from>
    <xdr:to>
      <xdr:col>1</xdr:col>
      <xdr:colOff>314960</xdr:colOff>
      <xdr:row>24</xdr:row>
      <xdr:rowOff>177800</xdr:rowOff>
    </xdr:to>
    <mc:AlternateContent xmlns:mc="http://schemas.openxmlformats.org/markup-compatibility/2006" xmlns:a14="http://schemas.microsoft.com/office/drawing/2010/main">
      <mc:Choice Requires="a14">
        <xdr:graphicFrame macro="">
          <xdr:nvGraphicFramePr>
            <xdr:cNvPr id="54" name="Date (Month) 1">
              <a:extLst>
                <a:ext uri="{FF2B5EF4-FFF2-40B4-BE49-F238E27FC236}">
                  <a16:creationId xmlns:a16="http://schemas.microsoft.com/office/drawing/2014/main" id="{BAC5408E-F9E1-4CAF-92E7-0777BE938004}"/>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101600" y="781050"/>
              <a:ext cx="822960" cy="3816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285750</xdr:colOff>
      <xdr:row>5</xdr:row>
      <xdr:rowOff>139700</xdr:rowOff>
    </xdr:from>
    <xdr:to>
      <xdr:col>3</xdr:col>
      <xdr:colOff>577850</xdr:colOff>
      <xdr:row>8</xdr:row>
      <xdr:rowOff>158750</xdr:rowOff>
    </xdr:to>
    <xdr:graphicFrame macro="">
      <xdr:nvGraphicFramePr>
        <xdr:cNvPr id="60" name="Chart 59">
          <a:hlinkClick xmlns:r="http://schemas.openxmlformats.org/officeDocument/2006/relationships" r:id="rId8"/>
          <a:extLst>
            <a:ext uri="{FF2B5EF4-FFF2-40B4-BE49-F238E27FC236}">
              <a16:creationId xmlns:a16="http://schemas.microsoft.com/office/drawing/2014/main" id="{54E68614-F4A3-49E9-B436-599E68777A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361950</xdr:colOff>
      <xdr:row>5</xdr:row>
      <xdr:rowOff>105410</xdr:rowOff>
    </xdr:from>
    <xdr:to>
      <xdr:col>6</xdr:col>
      <xdr:colOff>82550</xdr:colOff>
      <xdr:row>8</xdr:row>
      <xdr:rowOff>167640</xdr:rowOff>
    </xdr:to>
    <xdr:graphicFrame macro="">
      <xdr:nvGraphicFramePr>
        <xdr:cNvPr id="61" name="Chart 60">
          <a:extLst>
            <a:ext uri="{FF2B5EF4-FFF2-40B4-BE49-F238E27FC236}">
              <a16:creationId xmlns:a16="http://schemas.microsoft.com/office/drawing/2014/main" id="{97FB8F6B-221D-45A5-AEBB-7111448608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361950</xdr:colOff>
      <xdr:row>5</xdr:row>
      <xdr:rowOff>152400</xdr:rowOff>
    </xdr:from>
    <xdr:to>
      <xdr:col>6</xdr:col>
      <xdr:colOff>101600</xdr:colOff>
      <xdr:row>8</xdr:row>
      <xdr:rowOff>152400</xdr:rowOff>
    </xdr:to>
    <xdr:graphicFrame macro="">
      <xdr:nvGraphicFramePr>
        <xdr:cNvPr id="62" name="Chart 61">
          <a:hlinkClick xmlns:r="http://schemas.openxmlformats.org/officeDocument/2006/relationships" r:id="rId11"/>
          <a:extLst>
            <a:ext uri="{FF2B5EF4-FFF2-40B4-BE49-F238E27FC236}">
              <a16:creationId xmlns:a16="http://schemas.microsoft.com/office/drawing/2014/main" id="{2C9404FA-2F4D-4D3D-BA4C-9AFE56B975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482600</xdr:colOff>
      <xdr:row>5</xdr:row>
      <xdr:rowOff>101600</xdr:rowOff>
    </xdr:from>
    <xdr:to>
      <xdr:col>8</xdr:col>
      <xdr:colOff>171450</xdr:colOff>
      <xdr:row>8</xdr:row>
      <xdr:rowOff>158750</xdr:rowOff>
    </xdr:to>
    <xdr:graphicFrame macro="">
      <xdr:nvGraphicFramePr>
        <xdr:cNvPr id="64" name="Chart 63">
          <a:hlinkClick xmlns:r="http://schemas.openxmlformats.org/officeDocument/2006/relationships" r:id="rId13"/>
          <a:extLst>
            <a:ext uri="{FF2B5EF4-FFF2-40B4-BE49-F238E27FC236}">
              <a16:creationId xmlns:a16="http://schemas.microsoft.com/office/drawing/2014/main" id="{E0106E65-CCE3-4FE8-916A-D34F24E4BF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584200</xdr:colOff>
      <xdr:row>13</xdr:row>
      <xdr:rowOff>31750</xdr:rowOff>
    </xdr:from>
    <xdr:to>
      <xdr:col>7</xdr:col>
      <xdr:colOff>381000</xdr:colOff>
      <xdr:row>24</xdr:row>
      <xdr:rowOff>44450</xdr:rowOff>
    </xdr:to>
    <xdr:graphicFrame macro="">
      <xdr:nvGraphicFramePr>
        <xdr:cNvPr id="22" name="Chart 21">
          <a:extLst>
            <a:ext uri="{FF2B5EF4-FFF2-40B4-BE49-F238E27FC236}">
              <a16:creationId xmlns:a16="http://schemas.microsoft.com/office/drawing/2014/main" id="{1851830E-8070-4050-A91A-9EE70D4973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oneCellAnchor>
    <xdr:from>
      <xdr:col>3</xdr:col>
      <xdr:colOff>298450</xdr:colOff>
      <xdr:row>23</xdr:row>
      <xdr:rowOff>143960</xdr:rowOff>
    </xdr:from>
    <xdr:ext cx="1543050" cy="281490"/>
    <xdr:sp macro="" textlink="">
      <xdr:nvSpPr>
        <xdr:cNvPr id="30" name="Rectangle 29">
          <a:extLst>
            <a:ext uri="{FF2B5EF4-FFF2-40B4-BE49-F238E27FC236}">
              <a16:creationId xmlns:a16="http://schemas.microsoft.com/office/drawing/2014/main" id="{C2C97A7D-D8F2-4F5F-BF00-A2D44F820903}"/>
            </a:ext>
          </a:extLst>
        </xdr:cNvPr>
        <xdr:cNvSpPr/>
      </xdr:nvSpPr>
      <xdr:spPr>
        <a:xfrm>
          <a:off x="2127250" y="4379410"/>
          <a:ext cx="1543050" cy="281490"/>
        </a:xfrm>
        <a:prstGeom prst="rect">
          <a:avLst/>
        </a:prstGeom>
        <a:noFill/>
      </xdr:spPr>
      <xdr:txBody>
        <a:bodyPr wrap="square" lIns="91440" tIns="45720" rIns="91440" bIns="45720">
          <a:noAutofit/>
        </a:bodyPr>
        <a:lstStyle/>
        <a:p>
          <a:pPr algn="ctr"/>
          <a:r>
            <a:rPr lang="en-US" sz="800" b="1" cap="none" spc="0" baseline="0">
              <a:ln w="0"/>
              <a:solidFill>
                <a:schemeClr val="tx1"/>
              </a:solidFill>
              <a:effectLst>
                <a:outerShdw blurRad="38100" dist="19050" dir="2700000" algn="tl" rotWithShape="0">
                  <a:schemeClr val="dk1">
                    <a:alpha val="40000"/>
                  </a:schemeClr>
                </a:outerShdw>
              </a:effectLst>
            </a:rPr>
            <a:t>No. of Patient by Age Group</a:t>
          </a:r>
          <a:endParaRPr lang="en-US" sz="800" b="1"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8</xdr:col>
      <xdr:colOff>152400</xdr:colOff>
      <xdr:row>0</xdr:row>
      <xdr:rowOff>120650</xdr:rowOff>
    </xdr:from>
    <xdr:to>
      <xdr:col>10</xdr:col>
      <xdr:colOff>457200</xdr:colOff>
      <xdr:row>6</xdr:row>
      <xdr:rowOff>146050</xdr:rowOff>
    </xdr:to>
    <xdr:graphicFrame macro="">
      <xdr:nvGraphicFramePr>
        <xdr:cNvPr id="31" name="Chart 30">
          <a:extLst>
            <a:ext uri="{FF2B5EF4-FFF2-40B4-BE49-F238E27FC236}">
              <a16:creationId xmlns:a16="http://schemas.microsoft.com/office/drawing/2014/main" id="{3F31934E-445D-4F3C-92B8-661663B567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oneCellAnchor>
    <xdr:from>
      <xdr:col>8</xdr:col>
      <xdr:colOff>158750</xdr:colOff>
      <xdr:row>6</xdr:row>
      <xdr:rowOff>171450</xdr:rowOff>
    </xdr:from>
    <xdr:ext cx="1631950" cy="281490"/>
    <xdr:sp macro="" textlink="">
      <xdr:nvSpPr>
        <xdr:cNvPr id="34" name="Rectangle 33">
          <a:extLst>
            <a:ext uri="{FF2B5EF4-FFF2-40B4-BE49-F238E27FC236}">
              <a16:creationId xmlns:a16="http://schemas.microsoft.com/office/drawing/2014/main" id="{8B597FDC-ACC6-4004-AE56-0157AC9A9853}"/>
            </a:ext>
          </a:extLst>
        </xdr:cNvPr>
        <xdr:cNvSpPr/>
      </xdr:nvSpPr>
      <xdr:spPr>
        <a:xfrm>
          <a:off x="5035550" y="1276350"/>
          <a:ext cx="1631950" cy="281490"/>
        </a:xfrm>
        <a:prstGeom prst="rect">
          <a:avLst/>
        </a:prstGeom>
        <a:noFill/>
      </xdr:spPr>
      <xdr:txBody>
        <a:bodyPr wrap="square" lIns="91440" tIns="45720" rIns="91440" bIns="45720">
          <a:noAutofit/>
        </a:bodyPr>
        <a:lstStyle/>
        <a:p>
          <a:pPr algn="ctr"/>
          <a:r>
            <a:rPr lang="en-US" sz="800" b="1" cap="none" spc="0" baseline="0">
              <a:ln w="0"/>
              <a:solidFill>
                <a:schemeClr val="tx1"/>
              </a:solidFill>
              <a:effectLst>
                <a:outerShdw blurRad="38100" dist="19050" dir="2700000" algn="tl" rotWithShape="0">
                  <a:schemeClr val="dk1">
                    <a:alpha val="40000"/>
                  </a:schemeClr>
                </a:outerShdw>
              </a:effectLst>
            </a:rPr>
            <a:t>Patients Attended Within Time</a:t>
          </a:r>
        </a:p>
      </xdr:txBody>
    </xdr:sp>
    <xdr:clientData/>
  </xdr:oneCellAnchor>
  <xdr:twoCellAnchor>
    <xdr:from>
      <xdr:col>9</xdr:col>
      <xdr:colOff>596900</xdr:colOff>
      <xdr:row>0</xdr:row>
      <xdr:rowOff>139700</xdr:rowOff>
    </xdr:from>
    <xdr:to>
      <xdr:col>14</xdr:col>
      <xdr:colOff>546100</xdr:colOff>
      <xdr:row>8</xdr:row>
      <xdr:rowOff>76200</xdr:rowOff>
    </xdr:to>
    <xdr:graphicFrame macro="">
      <xdr:nvGraphicFramePr>
        <xdr:cNvPr id="35" name="Chart 34">
          <a:extLst>
            <a:ext uri="{FF2B5EF4-FFF2-40B4-BE49-F238E27FC236}">
              <a16:creationId xmlns:a16="http://schemas.microsoft.com/office/drawing/2014/main" id="{F172D18E-4682-4A9F-BF00-999CD7D9E1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oneCellAnchor>
    <xdr:from>
      <xdr:col>10</xdr:col>
      <xdr:colOff>565150</xdr:colOff>
      <xdr:row>6</xdr:row>
      <xdr:rowOff>171450</xdr:rowOff>
    </xdr:from>
    <xdr:ext cx="1631950" cy="281490"/>
    <xdr:sp macro="" textlink="">
      <xdr:nvSpPr>
        <xdr:cNvPr id="36" name="Rectangle 35">
          <a:extLst>
            <a:ext uri="{FF2B5EF4-FFF2-40B4-BE49-F238E27FC236}">
              <a16:creationId xmlns:a16="http://schemas.microsoft.com/office/drawing/2014/main" id="{8CF60BE4-DF7D-1F2D-FB60-32A13A8EB2BC}"/>
            </a:ext>
          </a:extLst>
        </xdr:cNvPr>
        <xdr:cNvSpPr/>
      </xdr:nvSpPr>
      <xdr:spPr>
        <a:xfrm>
          <a:off x="6661150" y="1276350"/>
          <a:ext cx="1631950" cy="281490"/>
        </a:xfrm>
        <a:prstGeom prst="rect">
          <a:avLst/>
        </a:prstGeom>
        <a:noFill/>
      </xdr:spPr>
      <xdr:txBody>
        <a:bodyPr wrap="square" lIns="91440" tIns="45720" rIns="91440" bIns="45720">
          <a:noAutofit/>
        </a:bodyPr>
        <a:lstStyle/>
        <a:p>
          <a:pPr algn="ctr"/>
          <a:r>
            <a:rPr lang="en-US" sz="800" b="1" cap="none" spc="0" baseline="0">
              <a:ln w="0"/>
              <a:solidFill>
                <a:schemeClr val="tx1"/>
              </a:solidFill>
              <a:effectLst>
                <a:outerShdw blurRad="38100" dist="19050" dir="2700000" algn="tl" rotWithShape="0">
                  <a:schemeClr val="dk1">
                    <a:alpha val="40000"/>
                  </a:schemeClr>
                </a:outerShdw>
              </a:effectLst>
            </a:rPr>
            <a:t>Gender Wise Analysis</a:t>
          </a:r>
        </a:p>
      </xdr:txBody>
    </xdr:sp>
    <xdr:clientData/>
  </xdr:oneCellAnchor>
  <xdr:twoCellAnchor>
    <xdr:from>
      <xdr:col>8</xdr:col>
      <xdr:colOff>107950</xdr:colOff>
      <xdr:row>8</xdr:row>
      <xdr:rowOff>101600</xdr:rowOff>
    </xdr:from>
    <xdr:to>
      <xdr:col>13</xdr:col>
      <xdr:colOff>311150</xdr:colOff>
      <xdr:row>24</xdr:row>
      <xdr:rowOff>57150</xdr:rowOff>
    </xdr:to>
    <xdr:graphicFrame macro="">
      <xdr:nvGraphicFramePr>
        <xdr:cNvPr id="39" name="Chart 38">
          <a:extLst>
            <a:ext uri="{FF2B5EF4-FFF2-40B4-BE49-F238E27FC236}">
              <a16:creationId xmlns:a16="http://schemas.microsoft.com/office/drawing/2014/main" id="{ABE74E20-F830-4783-B8AC-44B5B0D30F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oneCellAnchor>
    <xdr:from>
      <xdr:col>9</xdr:col>
      <xdr:colOff>241300</xdr:colOff>
      <xdr:row>23</xdr:row>
      <xdr:rowOff>95250</xdr:rowOff>
    </xdr:from>
    <xdr:ext cx="2432050" cy="281490"/>
    <xdr:sp macro="" textlink="">
      <xdr:nvSpPr>
        <xdr:cNvPr id="40" name="Rectangle 39">
          <a:extLst>
            <a:ext uri="{FF2B5EF4-FFF2-40B4-BE49-F238E27FC236}">
              <a16:creationId xmlns:a16="http://schemas.microsoft.com/office/drawing/2014/main" id="{B9CE0272-FC92-4FC9-B942-23D8D770A33F}"/>
            </a:ext>
          </a:extLst>
        </xdr:cNvPr>
        <xdr:cNvSpPr/>
      </xdr:nvSpPr>
      <xdr:spPr>
        <a:xfrm>
          <a:off x="5727700" y="4330700"/>
          <a:ext cx="2432050" cy="281490"/>
        </a:xfrm>
        <a:prstGeom prst="rect">
          <a:avLst/>
        </a:prstGeom>
        <a:noFill/>
      </xdr:spPr>
      <xdr:txBody>
        <a:bodyPr wrap="square" lIns="91440" tIns="45720" rIns="91440" bIns="45720">
          <a:noAutofit/>
        </a:bodyPr>
        <a:lstStyle/>
        <a:p>
          <a:pPr algn="ctr"/>
          <a:r>
            <a:rPr lang="en-US" sz="800" b="1" cap="none" spc="0" baseline="0">
              <a:ln w="0"/>
              <a:solidFill>
                <a:schemeClr val="tx1"/>
              </a:solidFill>
              <a:effectLst>
                <a:outerShdw blurRad="38100" dist="19050" dir="2700000" algn="tl" rotWithShape="0">
                  <a:schemeClr val="dk1">
                    <a:alpha val="40000"/>
                  </a:schemeClr>
                </a:outerShdw>
              </a:effectLst>
            </a:rPr>
            <a:t>No. of Patient by Department Referral</a:t>
          </a:r>
        </a:p>
      </xdr:txBody>
    </xdr:sp>
    <xdr:clientData/>
  </xdr:oneCellAnchor>
  <xdr:twoCellAnchor editAs="oneCell">
    <xdr:from>
      <xdr:col>5</xdr:col>
      <xdr:colOff>444500</xdr:colOff>
      <xdr:row>1</xdr:row>
      <xdr:rowOff>76200</xdr:rowOff>
    </xdr:from>
    <xdr:to>
      <xdr:col>8</xdr:col>
      <xdr:colOff>44450</xdr:colOff>
      <xdr:row>3</xdr:row>
      <xdr:rowOff>95249</xdr:rowOff>
    </xdr:to>
    <mc:AlternateContent xmlns:mc="http://schemas.openxmlformats.org/markup-compatibility/2006" xmlns:a14="http://schemas.microsoft.com/office/drawing/2010/main">
      <mc:Choice Requires="a14">
        <xdr:graphicFrame macro="">
          <xdr:nvGraphicFramePr>
            <xdr:cNvPr id="41" name="Date (Year)">
              <a:extLst>
                <a:ext uri="{FF2B5EF4-FFF2-40B4-BE49-F238E27FC236}">
                  <a16:creationId xmlns:a16="http://schemas.microsoft.com/office/drawing/2014/main" id="{DFBEF837-1722-481C-9AFD-9F5934A7B17C}"/>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492500" y="260350"/>
              <a:ext cx="1428750" cy="3873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5</xdr:col>
      <xdr:colOff>317500</xdr:colOff>
      <xdr:row>0</xdr:row>
      <xdr:rowOff>88900</xdr:rowOff>
    </xdr:from>
    <xdr:ext cx="1657350" cy="281490"/>
    <xdr:sp macro="" textlink="">
      <xdr:nvSpPr>
        <xdr:cNvPr id="42" name="Rectangle 41">
          <a:extLst>
            <a:ext uri="{FF2B5EF4-FFF2-40B4-BE49-F238E27FC236}">
              <a16:creationId xmlns:a16="http://schemas.microsoft.com/office/drawing/2014/main" id="{425D3164-97F0-4BE1-B1EE-103681272D00}"/>
            </a:ext>
          </a:extLst>
        </xdr:cNvPr>
        <xdr:cNvSpPr/>
      </xdr:nvSpPr>
      <xdr:spPr>
        <a:xfrm>
          <a:off x="3365500" y="88900"/>
          <a:ext cx="1657350" cy="281490"/>
        </a:xfrm>
        <a:prstGeom prst="rect">
          <a:avLst/>
        </a:prstGeom>
        <a:noFill/>
      </xdr:spPr>
      <xdr:txBody>
        <a:bodyPr wrap="square" lIns="91440" tIns="45720" rIns="91440" bIns="45720">
          <a:noAutofit/>
        </a:bodyPr>
        <a:lstStyle/>
        <a:p>
          <a:pPr algn="ctr"/>
          <a:r>
            <a:rPr lang="en-US" sz="900" b="1" cap="none" spc="0" baseline="0">
              <a:ln w="0"/>
              <a:solidFill>
                <a:schemeClr val="tx1"/>
              </a:solidFill>
              <a:effectLst>
                <a:outerShdw blurRad="38100" dist="19050" dir="2700000" algn="tl" rotWithShape="0">
                  <a:schemeClr val="dk1">
                    <a:alpha val="40000"/>
                  </a:schemeClr>
                </a:outerShdw>
              </a:effectLst>
            </a:rPr>
            <a:t>Select Year</a:t>
          </a:r>
        </a:p>
      </xdr:txBody>
    </xdr:sp>
    <xdr:clientData/>
  </xdr:oneCellAnchor>
  <mc:AlternateContent xmlns:mc="http://schemas.openxmlformats.org/markup-compatibility/2006">
    <mc:Choice xmlns:a14="http://schemas.microsoft.com/office/drawing/2010/main" Requires="a14">
      <xdr:twoCellAnchor editAs="oneCell">
        <xdr:from>
          <xdr:col>1</xdr:col>
          <xdr:colOff>406400</xdr:colOff>
          <xdr:row>9</xdr:row>
          <xdr:rowOff>6350</xdr:rowOff>
        </xdr:from>
        <xdr:to>
          <xdr:col>8</xdr:col>
          <xdr:colOff>38100</xdr:colOff>
          <xdr:row>12</xdr:row>
          <xdr:rowOff>12700</xdr:rowOff>
        </xdr:to>
        <xdr:pic>
          <xdr:nvPicPr>
            <xdr:cNvPr id="58" name="Picture 57">
              <a:extLst>
                <a:ext uri="{FF2B5EF4-FFF2-40B4-BE49-F238E27FC236}">
                  <a16:creationId xmlns:a16="http://schemas.microsoft.com/office/drawing/2014/main" id="{8A7BC1E5-1A17-F2AE-7B6A-DD735BFB073C}"/>
                </a:ext>
              </a:extLst>
            </xdr:cNvPr>
            <xdr:cNvPicPr>
              <a:picLocks noChangeAspect="1" noChangeArrowheads="1"/>
              <a:extLst>
                <a:ext uri="{84589F7E-364E-4C9E-8A38-B11213B215E9}">
                  <a14:cameraTool cellRange="'Pivot Report'!$B$58:$E$60" spid="_x0000_s2073"/>
                </a:ext>
              </a:extLst>
            </xdr:cNvPicPr>
          </xdr:nvPicPr>
          <xdr:blipFill>
            <a:blip xmlns:r="http://schemas.openxmlformats.org/officeDocument/2006/relationships" r:embed="rId19"/>
            <a:srcRect/>
            <a:stretch>
              <a:fillRect/>
            </a:stretch>
          </xdr:blipFill>
          <xdr:spPr bwMode="auto">
            <a:xfrm>
              <a:off x="1016000" y="1663700"/>
              <a:ext cx="3898900" cy="5588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2</xdr:col>
      <xdr:colOff>495300</xdr:colOff>
      <xdr:row>2</xdr:row>
      <xdr:rowOff>101600</xdr:rowOff>
    </xdr:from>
    <xdr:to>
      <xdr:col>11</xdr:col>
      <xdr:colOff>501650</xdr:colOff>
      <xdr:row>18</xdr:row>
      <xdr:rowOff>133350</xdr:rowOff>
    </xdr:to>
    <xdr:graphicFrame macro="">
      <xdr:nvGraphicFramePr>
        <xdr:cNvPr id="2" name="Chart 1">
          <a:extLst>
            <a:ext uri="{FF2B5EF4-FFF2-40B4-BE49-F238E27FC236}">
              <a16:creationId xmlns:a16="http://schemas.microsoft.com/office/drawing/2014/main" id="{FD447A30-7EE1-4821-8124-C3FF064149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539750</xdr:colOff>
      <xdr:row>2</xdr:row>
      <xdr:rowOff>127000</xdr:rowOff>
    </xdr:from>
    <xdr:to>
      <xdr:col>3</xdr:col>
      <xdr:colOff>419100</xdr:colOff>
      <xdr:row>5</xdr:row>
      <xdr:rowOff>63500</xdr:rowOff>
    </xdr:to>
    <xdr:pic>
      <xdr:nvPicPr>
        <xdr:cNvPr id="3" name="Graphic 1" descr="Home with solid fill">
          <a:hlinkClick xmlns:r="http://schemas.openxmlformats.org/officeDocument/2006/relationships" r:id="rId2"/>
          <a:extLst>
            <a:ext uri="{FF2B5EF4-FFF2-40B4-BE49-F238E27FC236}">
              <a16:creationId xmlns:a16="http://schemas.microsoft.com/office/drawing/2014/main" id="{EDF7E603-58E3-559F-7476-15C792B0F1E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758950" y="495300"/>
          <a:ext cx="488950" cy="4889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431800</xdr:colOff>
      <xdr:row>2</xdr:row>
      <xdr:rowOff>101600</xdr:rowOff>
    </xdr:from>
    <xdr:to>
      <xdr:col>11</xdr:col>
      <xdr:colOff>196850</xdr:colOff>
      <xdr:row>20</xdr:row>
      <xdr:rowOff>31750</xdr:rowOff>
    </xdr:to>
    <xdr:graphicFrame macro="">
      <xdr:nvGraphicFramePr>
        <xdr:cNvPr id="2" name="Chart 1">
          <a:extLst>
            <a:ext uri="{FF2B5EF4-FFF2-40B4-BE49-F238E27FC236}">
              <a16:creationId xmlns:a16="http://schemas.microsoft.com/office/drawing/2014/main" id="{3E5F81C4-79C3-404A-92AC-5129D5B47F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0.89964</cdr:x>
      <cdr:y>0.00587</cdr:y>
    </cdr:from>
    <cdr:to>
      <cdr:x>0.99274</cdr:x>
      <cdr:y>0.15656</cdr:y>
    </cdr:to>
    <cdr:pic>
      <cdr:nvPicPr>
        <cdr:cNvPr id="2"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E4B31D53-D41A-A26E-D43B-0EADBBDB7E7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4724400" y="19050"/>
          <a:ext cx="488950" cy="488950"/>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1</xdr:col>
      <xdr:colOff>508000</xdr:colOff>
      <xdr:row>2</xdr:row>
      <xdr:rowOff>139700</xdr:rowOff>
    </xdr:from>
    <xdr:to>
      <xdr:col>11</xdr:col>
      <xdr:colOff>120650</xdr:colOff>
      <xdr:row>19</xdr:row>
      <xdr:rowOff>63500</xdr:rowOff>
    </xdr:to>
    <xdr:graphicFrame macro="">
      <xdr:nvGraphicFramePr>
        <xdr:cNvPr id="2" name="Chart 1">
          <a:extLst>
            <a:ext uri="{FF2B5EF4-FFF2-40B4-BE49-F238E27FC236}">
              <a16:creationId xmlns:a16="http://schemas.microsoft.com/office/drawing/2014/main" id="{44CD5CBE-2C5C-4C1C-BE0B-C89EC5427A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0.90323</cdr:x>
      <cdr:y>0</cdr:y>
    </cdr:from>
    <cdr:to>
      <cdr:x>0.99778</cdr:x>
      <cdr:y>0.17672</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6BE7AE85-3683-F6CC-2A68-E43266928EA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156200" y="0"/>
          <a:ext cx="539750" cy="53975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r" refreshedDate="45846.438937037034" createdVersion="5" refreshedVersion="8" minRefreshableVersion="3" recordCount="0" supportSubquery="1" supportAdvancedDrill="1" xr:uid="{45A9CF6F-65A9-4123-82C7-8271D0415240}">
  <cacheSource type="external" connectionId="3"/>
  <cacheFields count="4">
    <cacheField name="[Calendar_Date].[Date (Day)].[Date (Day)]" caption="Date (Day)" numFmtId="0" hierarchy="2" level="1">
      <sharedItems count="9">
        <s v="4-Jan"/>
        <s v="5-Jan"/>
        <s v="6-Jan"/>
        <s v="7-Jan"/>
        <s v="8-Jan"/>
        <s v="9-Jan"/>
        <s v="10-Jan"/>
        <s v="11-Jan"/>
        <s v="12-Jan"/>
      </sharedItems>
    </cacheField>
    <cacheField name="[Calendar_Date].[Date (Month)].[Date (Month)]" caption="Date (Month)" numFmtId="0" hierarchy="1" level="1">
      <sharedItems containsSemiMixedTypes="0" containsNonDate="0" containsString="0"/>
    </cacheField>
    <cacheField name="[Measures].[Average of Patient Waittime]" caption="Average of Patient Waittime" numFmtId="0" hierarchy="29" level="32767"/>
    <cacheField name="[Calendar_Date].[Date (Year)].[Date (Year)]" caption="Date (Year)" numFmtId="0" hierarchy="3" level="1">
      <sharedItems containsSemiMixedTypes="0" containsNonDate="0" containsString="0"/>
    </cacheField>
  </cacheFields>
  <cacheHierarchies count="38">
    <cacheHierarchy uniqueName="[Calendar_Date].[Date]" caption="Date" attribute="1" time="1" defaultMemberUniqueName="[Calendar_Date].[Date].[All]" allUniqueName="[Calendar_Date].[Date].[All]" dimensionUniqueName="[Calendar_Date]" displayFolder="" count="0" memberValueDatatype="7" unbalanced="0"/>
    <cacheHierarchy uniqueName="[Calendar_Date].[Date (Month)]" caption="Date (Month)" attribute="1" defaultMemberUniqueName="[Calendar_Date].[Date (Month)].[All]" allUniqueName="[Calendar_Date].[Date (Month)].[All]" dimensionUniqueName="[Calendar_Date]" displayFolder="" count="2" memberValueDatatype="130" unbalanced="0">
      <fieldsUsage count="2">
        <fieldUsage x="-1"/>
        <fieldUsage x="1"/>
      </fieldsUsage>
    </cacheHierarchy>
    <cacheHierarchy uniqueName="[Calendar_Date].[Date (Day)]" caption="Date (Day)" attribute="1" defaultMemberUniqueName="[Calendar_Date].[Date (Day)].[All]" allUniqueName="[Calendar_Date].[Date (Day)].[All]" dimensionUniqueName="[Calendar_Date]" displayFolder="" count="2" memberValueDatatype="130" unbalanced="0">
      <fieldsUsage count="2">
        <fieldUsage x="-1"/>
        <fieldUsage x="0"/>
      </fieldsUsage>
    </cacheHierarchy>
    <cacheHierarchy uniqueName="[Calendar_Date].[Date (Year)]" caption="Date (Year)" attribute="1" defaultMemberUniqueName="[Calendar_Date].[Date (Year)].[All]" allUniqueName="[Calendar_Date].[Date (Year)].[All]" dimensionUniqueName="[Calendar_Date]" displayFolder="" count="2" memberValueDatatype="130" unbalanced="0">
      <fieldsUsage count="2">
        <fieldUsage x="-1"/>
        <fieldUsage x="3"/>
      </fieldsUsage>
    </cacheHierarchy>
    <cacheHierarchy uniqueName="[Calendar_Date].[Date (Quarter)]" caption="Date (Quarter)" attribute="1" defaultMemberUniqueName="[Calendar_Date].[Date (Quarter)].[All]" allUniqueName="[Calendar_Date].[Date (Quarter)].[All]" dimensionUniqueName="[Calendar_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1 (Year)]" caption="Patient Admission Date.1 (Year)" attribute="1" defaultMemberUniqueName="[Hospital Emergency Room Data].[Patient Admission Date.1 (Year)].[All]" allUniqueName="[Hospital Emergency Room Data].[Patient Admission Date.1 (Year)].[All]" dimensionUniqueName="[Hospital Emergency Room Data]" displayFolder="" count="0" memberValueDatatype="130" unbalanced="0"/>
    <cacheHierarchy uniqueName="[Hospital Emergency Room Data].[Patient Admission Date.1 (Quarter)]" caption="Patient Admission Date.1 (Quarter)" attribute="1" defaultMemberUniqueName="[Hospital Emergency Room Data].[Patient Admission Date.1 (Quarter)].[All]" allUniqueName="[Hospital Emergency Room Data].[Patient Admission Date.1 (Quarter)].[All]" dimensionUniqueName="[Hospital Emergency Room Data]" displayFolder="" count="0" memberValueDatatype="130" unbalanced="0"/>
    <cacheHierarchy uniqueName="[Hospital Emergency Room Data].[Patient Admission Date.1 (Month)]" caption="Patient Admission Date.1 (Month)" attribute="1" defaultMemberUniqueName="[Hospital Emergency Room Data].[Patient Admission Date.1 (Month)].[All]" allUniqueName="[Hospital Emergency Room Data].[Patient Admission Date.1 (Month)].[All]" dimensionUniqueName="[Hospital Emergency Room Data]" displayFolder="" count="0" memberValueDatatype="130" unbalanced="0"/>
    <cacheHierarchy uniqueName="[Calendar_Date].[Date (Day Index)]" caption="Date (Day Index)" attribute="1" defaultMemberUniqueName="[Calendar_Date].[Date (Day Index)].[All]" allUniqueName="[Calendar_Date].[Date (Day Index)].[All]" dimensionUniqueName="[Calendar_Date]" displayFolder="" count="0" memberValueDatatype="5" unbalanced="0" hidden="1"/>
    <cacheHierarchy uniqueName="[Calendar_Date].[Date (Month Index)]" caption="Date (Month Index)" attribute="1" defaultMemberUniqueName="[Calendar_Date].[Date (Month Index)].[All]" allUniqueName="[Calendar_Date].[Date (Month Index)].[All]" dimensionUniqueName="[Calendar_Date]" displayFolder="" count="0" memberValueDatatype="20" unbalanced="0" hidden="1"/>
    <cacheHierarchy uniqueName="[Hospital Emergency Room Data].[Patient Admission Date.1 (Month Index)]" caption="Patient Admission Date.1 (Month Index)" attribute="1" defaultMemberUniqueName="[Hospital Emergency Room Data].[Patient Admission Date.1 (Month Index)].[All]" allUniqueName="[Hospital Emergency Room Data].[Patient Admission Date.1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Date]" caption="__XL_Count Calendar_Date" measure="1" displayFolder="" measureGroup="Calendar_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Date.1]" caption="Count of Patient Admission Date.1"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ar_Date" uniqueName="[Calendar_Date]" caption="Calendar_Date"/>
    <dimension name="Hospital Emergency Room Data" uniqueName="[Hospital Emergency Room Data]" caption="Hospital Emergency Room Data"/>
    <dimension measure="1" name="Measures" uniqueName="[Measures]" caption="Measures"/>
  </dimensions>
  <measureGroups count="2">
    <measureGroup name="Calendar_Date" caption="Calendar_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r" refreshedDate="45846.438937615741" createdVersion="5" refreshedVersion="8" minRefreshableVersion="3" recordCount="0" supportSubquery="1" supportAdvancedDrill="1" xr:uid="{66DC6BAC-62C8-4F6E-A2FE-B9D250706690}">
  <cacheSource type="external" connectionId="3"/>
  <cacheFields count="3">
    <cacheField name="[Measures].[Average of Patient Waittime]" caption="Average of Patient Waittime" numFmtId="0" hierarchy="29" level="32767"/>
    <cacheField name="[Calendar_Date].[Date (Month)].[Date (Month)]" caption="Date (Month)" numFmtId="0" hierarchy="1" level="1">
      <sharedItems containsSemiMixedTypes="0" containsNonDate="0" containsString="0"/>
    </cacheField>
    <cacheField name="[Calendar_Date].[Date (Year)].[Date (Year)]" caption="Date (Year)" numFmtId="0" hierarchy="3" level="1">
      <sharedItems containsSemiMixedTypes="0" containsNonDate="0" containsString="0"/>
    </cacheField>
  </cacheFields>
  <cacheHierarchies count="38">
    <cacheHierarchy uniqueName="[Calendar_Date].[Date]" caption="Date" attribute="1" time="1" defaultMemberUniqueName="[Calendar_Date].[Date].[All]" allUniqueName="[Calendar_Date].[Date].[All]" dimensionUniqueName="[Calendar_Date]" displayFolder="" count="0" memberValueDatatype="7" unbalanced="0"/>
    <cacheHierarchy uniqueName="[Calendar_Date].[Date (Month)]" caption="Date (Month)" attribute="1" defaultMemberUniqueName="[Calendar_Date].[Date (Month)].[All]" allUniqueName="[Calendar_Date].[Date (Month)].[All]" dimensionUniqueName="[Calendar_Date]" displayFolder="" count="2" memberValueDatatype="130" unbalanced="0">
      <fieldsUsage count="2">
        <fieldUsage x="-1"/>
        <fieldUsage x="1"/>
      </fieldsUsage>
    </cacheHierarchy>
    <cacheHierarchy uniqueName="[Calendar_Date].[Date (Day)]" caption="Date (Day)" attribute="1" defaultMemberUniqueName="[Calendar_Date].[Date (Day)].[All]" allUniqueName="[Calendar_Date].[Date (Day)].[All]" dimensionUniqueName="[Calendar_Date]" displayFolder="" count="0" memberValueDatatype="130" unbalanced="0"/>
    <cacheHierarchy uniqueName="[Calendar_Date].[Date (Year)]" caption="Date (Year)" attribute="1" defaultMemberUniqueName="[Calendar_Date].[Date (Year)].[All]" allUniqueName="[Calendar_Date].[Date (Year)].[All]" dimensionUniqueName="[Calendar_Date]" displayFolder="" count="2" memberValueDatatype="130" unbalanced="0">
      <fieldsUsage count="2">
        <fieldUsage x="-1"/>
        <fieldUsage x="2"/>
      </fieldsUsage>
    </cacheHierarchy>
    <cacheHierarchy uniqueName="[Calendar_Date].[Date (Quarter)]" caption="Date (Quarter)" attribute="1" defaultMemberUniqueName="[Calendar_Date].[Date (Quarter)].[All]" allUniqueName="[Calendar_Date].[Date (Quarter)].[All]" dimensionUniqueName="[Calendar_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1 (Year)]" caption="Patient Admission Date.1 (Year)" attribute="1" defaultMemberUniqueName="[Hospital Emergency Room Data].[Patient Admission Date.1 (Year)].[All]" allUniqueName="[Hospital Emergency Room Data].[Patient Admission Date.1 (Year)].[All]" dimensionUniqueName="[Hospital Emergency Room Data]" displayFolder="" count="0" memberValueDatatype="130" unbalanced="0"/>
    <cacheHierarchy uniqueName="[Hospital Emergency Room Data].[Patient Admission Date.1 (Quarter)]" caption="Patient Admission Date.1 (Quarter)" attribute="1" defaultMemberUniqueName="[Hospital Emergency Room Data].[Patient Admission Date.1 (Quarter)].[All]" allUniqueName="[Hospital Emergency Room Data].[Patient Admission Date.1 (Quarter)].[All]" dimensionUniqueName="[Hospital Emergency Room Data]" displayFolder="" count="0" memberValueDatatype="130" unbalanced="0"/>
    <cacheHierarchy uniqueName="[Hospital Emergency Room Data].[Patient Admission Date.1 (Month)]" caption="Patient Admission Date.1 (Month)" attribute="1" defaultMemberUniqueName="[Hospital Emergency Room Data].[Patient Admission Date.1 (Month)].[All]" allUniqueName="[Hospital Emergency Room Data].[Patient Admission Date.1 (Month)].[All]" dimensionUniqueName="[Hospital Emergency Room Data]" displayFolder="" count="0" memberValueDatatype="130" unbalanced="0"/>
    <cacheHierarchy uniqueName="[Calendar_Date].[Date (Day Index)]" caption="Date (Day Index)" attribute="1" defaultMemberUniqueName="[Calendar_Date].[Date (Day Index)].[All]" allUniqueName="[Calendar_Date].[Date (Day Index)].[All]" dimensionUniqueName="[Calendar_Date]" displayFolder="" count="0" memberValueDatatype="5" unbalanced="0" hidden="1"/>
    <cacheHierarchy uniqueName="[Calendar_Date].[Date (Month Index)]" caption="Date (Month Index)" attribute="1" defaultMemberUniqueName="[Calendar_Date].[Date (Month Index)].[All]" allUniqueName="[Calendar_Date].[Date (Month Index)].[All]" dimensionUniqueName="[Calendar_Date]" displayFolder="" count="0" memberValueDatatype="20" unbalanced="0" hidden="1"/>
    <cacheHierarchy uniqueName="[Hospital Emergency Room Data].[Patient Admission Date.1 (Month Index)]" caption="Patient Admission Date.1 (Month Index)" attribute="1" defaultMemberUniqueName="[Hospital Emergency Room Data].[Patient Admission Date.1 (Month Index)].[All]" allUniqueName="[Hospital Emergency Room Data].[Patient Admission Date.1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Date]" caption="__XL_Count Calendar_Date" measure="1" displayFolder="" measureGroup="Calendar_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Date.1]" caption="Count of Patient Admission Date.1"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ar_Date" uniqueName="[Calendar_Date]" caption="Calendar_Date"/>
    <dimension name="Hospital Emergency Room Data" uniqueName="[Hospital Emergency Room Data]" caption="Hospital Emergency Room Data"/>
    <dimension measure="1" name="Measures" uniqueName="[Measures]" caption="Measures"/>
  </dimensions>
  <measureGroups count="2">
    <measureGroup name="Calendar_Date" caption="Calendar_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r" refreshedDate="45846.438937847219" createdVersion="5" refreshedVersion="8" minRefreshableVersion="3" recordCount="0" supportSubquery="1" supportAdvancedDrill="1" xr:uid="{0371AB9C-AD80-4677-BE2E-8A1DDC7E5333}">
  <cacheSource type="external" connectionId="3"/>
  <cacheFields count="3">
    <cacheField name="[Measures].[Distinct Count of Patient Id]" caption="Distinct Count of Patient Id" numFmtId="0" hierarchy="27" level="32767"/>
    <cacheField name="[Calendar_Date].[Date (Month)].[Date (Month)]" caption="Date (Month)" numFmtId="0" hierarchy="1" level="1">
      <sharedItems containsSemiMixedTypes="0" containsNonDate="0" containsString="0"/>
    </cacheField>
    <cacheField name="[Calendar_Date].[Date (Year)].[Date (Year)]" caption="Date (Year)" numFmtId="0" hierarchy="3" level="1">
      <sharedItems containsSemiMixedTypes="0" containsNonDate="0" containsString="0"/>
    </cacheField>
  </cacheFields>
  <cacheHierarchies count="38">
    <cacheHierarchy uniqueName="[Calendar_Date].[Date]" caption="Date" attribute="1" time="1" defaultMemberUniqueName="[Calendar_Date].[Date].[All]" allUniqueName="[Calendar_Date].[Date].[All]" dimensionUniqueName="[Calendar_Date]" displayFolder="" count="0" memberValueDatatype="7" unbalanced="0"/>
    <cacheHierarchy uniqueName="[Calendar_Date].[Date (Month)]" caption="Date (Month)" attribute="1" defaultMemberUniqueName="[Calendar_Date].[Date (Month)].[All]" allUniqueName="[Calendar_Date].[Date (Month)].[All]" dimensionUniqueName="[Calendar_Date]" displayFolder="" count="2" memberValueDatatype="130" unbalanced="0">
      <fieldsUsage count="2">
        <fieldUsage x="-1"/>
        <fieldUsage x="1"/>
      </fieldsUsage>
    </cacheHierarchy>
    <cacheHierarchy uniqueName="[Calendar_Date].[Date (Day)]" caption="Date (Day)" attribute="1" defaultMemberUniqueName="[Calendar_Date].[Date (Day)].[All]" allUniqueName="[Calendar_Date].[Date (Day)].[All]" dimensionUniqueName="[Calendar_Date]" displayFolder="" count="0" memberValueDatatype="130" unbalanced="0"/>
    <cacheHierarchy uniqueName="[Calendar_Date].[Date (Year)]" caption="Date (Year)" attribute="1" defaultMemberUniqueName="[Calendar_Date].[Date (Year)].[All]" allUniqueName="[Calendar_Date].[Date (Year)].[All]" dimensionUniqueName="[Calendar_Date]" displayFolder="" count="2" memberValueDatatype="130" unbalanced="0">
      <fieldsUsage count="2">
        <fieldUsage x="-1"/>
        <fieldUsage x="2"/>
      </fieldsUsage>
    </cacheHierarchy>
    <cacheHierarchy uniqueName="[Calendar_Date].[Date (Quarter)]" caption="Date (Quarter)" attribute="1" defaultMemberUniqueName="[Calendar_Date].[Date (Quarter)].[All]" allUniqueName="[Calendar_Date].[Date (Quarter)].[All]" dimensionUniqueName="[Calendar_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1 (Year)]" caption="Patient Admission Date.1 (Year)" attribute="1" defaultMemberUniqueName="[Hospital Emergency Room Data].[Patient Admission Date.1 (Year)].[All]" allUniqueName="[Hospital Emergency Room Data].[Patient Admission Date.1 (Year)].[All]" dimensionUniqueName="[Hospital Emergency Room Data]" displayFolder="" count="0" memberValueDatatype="130" unbalanced="0"/>
    <cacheHierarchy uniqueName="[Hospital Emergency Room Data].[Patient Admission Date.1 (Quarter)]" caption="Patient Admission Date.1 (Quarter)" attribute="1" defaultMemberUniqueName="[Hospital Emergency Room Data].[Patient Admission Date.1 (Quarter)].[All]" allUniqueName="[Hospital Emergency Room Data].[Patient Admission Date.1 (Quarter)].[All]" dimensionUniqueName="[Hospital Emergency Room Data]" displayFolder="" count="0" memberValueDatatype="130" unbalanced="0"/>
    <cacheHierarchy uniqueName="[Hospital Emergency Room Data].[Patient Admission Date.1 (Month)]" caption="Patient Admission Date.1 (Month)" attribute="1" defaultMemberUniqueName="[Hospital Emergency Room Data].[Patient Admission Date.1 (Month)].[All]" allUniqueName="[Hospital Emergency Room Data].[Patient Admission Date.1 (Month)].[All]" dimensionUniqueName="[Hospital Emergency Room Data]" displayFolder="" count="0" memberValueDatatype="130" unbalanced="0"/>
    <cacheHierarchy uniqueName="[Calendar_Date].[Date (Day Index)]" caption="Date (Day Index)" attribute="1" defaultMemberUniqueName="[Calendar_Date].[Date (Day Index)].[All]" allUniqueName="[Calendar_Date].[Date (Day Index)].[All]" dimensionUniqueName="[Calendar_Date]" displayFolder="" count="0" memberValueDatatype="5" unbalanced="0" hidden="1"/>
    <cacheHierarchy uniqueName="[Calendar_Date].[Date (Month Index)]" caption="Date (Month Index)" attribute="1" defaultMemberUniqueName="[Calendar_Date].[Date (Month Index)].[All]" allUniqueName="[Calendar_Date].[Date (Month Index)].[All]" dimensionUniqueName="[Calendar_Date]" displayFolder="" count="0" memberValueDatatype="20" unbalanced="0" hidden="1"/>
    <cacheHierarchy uniqueName="[Hospital Emergency Room Data].[Patient Admission Date.1 (Month Index)]" caption="Patient Admission Date.1 (Month Index)" attribute="1" defaultMemberUniqueName="[Hospital Emergency Room Data].[Patient Admission Date.1 (Month Index)].[All]" allUniqueName="[Hospital Emergency Room Data].[Patient Admission Date.1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Date]" caption="__XL_Count Calendar_Date" measure="1" displayFolder="" measureGroup="Calendar_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Date.1]" caption="Count of Patient Admission Date.1"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ar_Date" uniqueName="[Calendar_Date]" caption="Calendar_Date"/>
    <dimension name="Hospital Emergency Room Data" uniqueName="[Hospital Emergency Room Data]" caption="Hospital Emergency Room Data"/>
    <dimension measure="1" name="Measures" uniqueName="[Measures]" caption="Measures"/>
  </dimensions>
  <measureGroups count="2">
    <measureGroup name="Calendar_Date" caption="Calendar_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r" refreshedDate="45846.438937962965" createdVersion="5" refreshedVersion="8" minRefreshableVersion="3" recordCount="0" supportSubquery="1" supportAdvancedDrill="1" xr:uid="{48D36B11-6C89-4E6F-B020-53DE80DF4A5A}">
  <cacheSource type="external" connectionId="3"/>
  <cacheFields count="3">
    <cacheField name="[Measures].[Average of Patient Satisfaction Score]" caption="Average of Patient Satisfaction Score" numFmtId="0" hierarchy="31" level="32767"/>
    <cacheField name="[Calendar_Date].[Date (Month)].[Date (Month)]" caption="Date (Month)" numFmtId="0" hierarchy="1" level="1">
      <sharedItems containsSemiMixedTypes="0" containsNonDate="0" containsString="0"/>
    </cacheField>
    <cacheField name="[Calendar_Date].[Date (Year)].[Date (Year)]" caption="Date (Year)" numFmtId="0" hierarchy="3" level="1">
      <sharedItems containsSemiMixedTypes="0" containsNonDate="0" containsString="0"/>
    </cacheField>
  </cacheFields>
  <cacheHierarchies count="38">
    <cacheHierarchy uniqueName="[Calendar_Date].[Date]" caption="Date" attribute="1" time="1" defaultMemberUniqueName="[Calendar_Date].[Date].[All]" allUniqueName="[Calendar_Date].[Date].[All]" dimensionUniqueName="[Calendar_Date]" displayFolder="" count="0" memberValueDatatype="7" unbalanced="0"/>
    <cacheHierarchy uniqueName="[Calendar_Date].[Date (Month)]" caption="Date (Month)" attribute="1" defaultMemberUniqueName="[Calendar_Date].[Date (Month)].[All]" allUniqueName="[Calendar_Date].[Date (Month)].[All]" dimensionUniqueName="[Calendar_Date]" displayFolder="" count="2" memberValueDatatype="130" unbalanced="0">
      <fieldsUsage count="2">
        <fieldUsage x="-1"/>
        <fieldUsage x="1"/>
      </fieldsUsage>
    </cacheHierarchy>
    <cacheHierarchy uniqueName="[Calendar_Date].[Date (Day)]" caption="Date (Day)" attribute="1" defaultMemberUniqueName="[Calendar_Date].[Date (Day)].[All]" allUniqueName="[Calendar_Date].[Date (Day)].[All]" dimensionUniqueName="[Calendar_Date]" displayFolder="" count="0" memberValueDatatype="130" unbalanced="0"/>
    <cacheHierarchy uniqueName="[Calendar_Date].[Date (Year)]" caption="Date (Year)" attribute="1" defaultMemberUniqueName="[Calendar_Date].[Date (Year)].[All]" allUniqueName="[Calendar_Date].[Date (Year)].[All]" dimensionUniqueName="[Calendar_Date]" displayFolder="" count="2" memberValueDatatype="130" unbalanced="0">
      <fieldsUsage count="2">
        <fieldUsage x="-1"/>
        <fieldUsage x="2"/>
      </fieldsUsage>
    </cacheHierarchy>
    <cacheHierarchy uniqueName="[Calendar_Date].[Date (Quarter)]" caption="Date (Quarter)" attribute="1" defaultMemberUniqueName="[Calendar_Date].[Date (Quarter)].[All]" allUniqueName="[Calendar_Date].[Date (Quarter)].[All]" dimensionUniqueName="[Calendar_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1 (Year)]" caption="Patient Admission Date.1 (Year)" attribute="1" defaultMemberUniqueName="[Hospital Emergency Room Data].[Patient Admission Date.1 (Year)].[All]" allUniqueName="[Hospital Emergency Room Data].[Patient Admission Date.1 (Year)].[All]" dimensionUniqueName="[Hospital Emergency Room Data]" displayFolder="" count="0" memberValueDatatype="130" unbalanced="0"/>
    <cacheHierarchy uniqueName="[Hospital Emergency Room Data].[Patient Admission Date.1 (Quarter)]" caption="Patient Admission Date.1 (Quarter)" attribute="1" defaultMemberUniqueName="[Hospital Emergency Room Data].[Patient Admission Date.1 (Quarter)].[All]" allUniqueName="[Hospital Emergency Room Data].[Patient Admission Date.1 (Quarter)].[All]" dimensionUniqueName="[Hospital Emergency Room Data]" displayFolder="" count="0" memberValueDatatype="130" unbalanced="0"/>
    <cacheHierarchy uniqueName="[Hospital Emergency Room Data].[Patient Admission Date.1 (Month)]" caption="Patient Admission Date.1 (Month)" attribute="1" defaultMemberUniqueName="[Hospital Emergency Room Data].[Patient Admission Date.1 (Month)].[All]" allUniqueName="[Hospital Emergency Room Data].[Patient Admission Date.1 (Month)].[All]" dimensionUniqueName="[Hospital Emergency Room Data]" displayFolder="" count="0" memberValueDatatype="130" unbalanced="0"/>
    <cacheHierarchy uniqueName="[Calendar_Date].[Date (Day Index)]" caption="Date (Day Index)" attribute="1" defaultMemberUniqueName="[Calendar_Date].[Date (Day Index)].[All]" allUniqueName="[Calendar_Date].[Date (Day Index)].[All]" dimensionUniqueName="[Calendar_Date]" displayFolder="" count="0" memberValueDatatype="5" unbalanced="0" hidden="1"/>
    <cacheHierarchy uniqueName="[Calendar_Date].[Date (Month Index)]" caption="Date (Month Index)" attribute="1" defaultMemberUniqueName="[Calendar_Date].[Date (Month Index)].[All]" allUniqueName="[Calendar_Date].[Date (Month Index)].[All]" dimensionUniqueName="[Calendar_Date]" displayFolder="" count="0" memberValueDatatype="20" unbalanced="0" hidden="1"/>
    <cacheHierarchy uniqueName="[Hospital Emergency Room Data].[Patient Admission Date.1 (Month Index)]" caption="Patient Admission Date.1 (Month Index)" attribute="1" defaultMemberUniqueName="[Hospital Emergency Room Data].[Patient Admission Date.1 (Month Index)].[All]" allUniqueName="[Hospital Emergency Room Data].[Patient Admission Date.1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Date]" caption="__XL_Count Calendar_Date" measure="1" displayFolder="" measureGroup="Calendar_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Patient Admission Date.1]" caption="Count of Patient Admission Date.1"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ar_Date" uniqueName="[Calendar_Date]" caption="Calendar_Date"/>
    <dimension name="Hospital Emergency Room Data" uniqueName="[Hospital Emergency Room Data]" caption="Hospital Emergency Room Data"/>
    <dimension measure="1" name="Measures" uniqueName="[Measures]" caption="Measures"/>
  </dimensions>
  <measureGroups count="2">
    <measureGroup name="Calendar_Date" caption="Calendar_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r" refreshedDate="45846.438938541665" createdVersion="5" refreshedVersion="8" minRefreshableVersion="3" recordCount="0" supportSubquery="1" supportAdvancedDrill="1" xr:uid="{A7CCE078-FDE9-45AA-BCB0-FE7B4E8487FD}">
  <cacheSource type="external" connectionId="3"/>
  <cacheFields count="4">
    <cacheField name="[Measures].[Distinct Count of Patient Id]" caption="Distinct Count of Patient Id" numFmtId="0" hierarchy="27" level="32767"/>
    <cacheField name="[Calendar_Date].[Date (Day)].[Date (Day)]" caption="Date (Day)" numFmtId="0" hierarchy="2" level="1">
      <sharedItems count="9">
        <s v="4-Jan"/>
        <s v="5-Jan"/>
        <s v="6-Jan"/>
        <s v="7-Jan"/>
        <s v="8-Jan"/>
        <s v="9-Jan"/>
        <s v="10-Jan"/>
        <s v="11-Jan"/>
        <s v="12-Jan"/>
      </sharedItems>
    </cacheField>
    <cacheField name="[Calendar_Date].[Date (Month)].[Date (Month)]" caption="Date (Month)" numFmtId="0" hierarchy="1" level="1">
      <sharedItems containsSemiMixedTypes="0" containsNonDate="0" containsString="0"/>
    </cacheField>
    <cacheField name="[Calendar_Date].[Date (Year)].[Date (Year)]" caption="Date (Year)" numFmtId="0" hierarchy="3" level="1">
      <sharedItems containsSemiMixedTypes="0" containsNonDate="0" containsString="0"/>
    </cacheField>
  </cacheFields>
  <cacheHierarchies count="38">
    <cacheHierarchy uniqueName="[Calendar_Date].[Date]" caption="Date" attribute="1" time="1" defaultMemberUniqueName="[Calendar_Date].[Date].[All]" allUniqueName="[Calendar_Date].[Date].[All]" dimensionUniqueName="[Calendar_Date]" displayFolder="" count="0" memberValueDatatype="7" unbalanced="0"/>
    <cacheHierarchy uniqueName="[Calendar_Date].[Date (Month)]" caption="Date (Month)" attribute="1" defaultMemberUniqueName="[Calendar_Date].[Date (Month)].[All]" allUniqueName="[Calendar_Date].[Date (Month)].[All]" dimensionUniqueName="[Calendar_Date]" displayFolder="" count="2" memberValueDatatype="130" unbalanced="0">
      <fieldsUsage count="2">
        <fieldUsage x="-1"/>
        <fieldUsage x="2"/>
      </fieldsUsage>
    </cacheHierarchy>
    <cacheHierarchy uniqueName="[Calendar_Date].[Date (Day)]" caption="Date (Day)" attribute="1" defaultMemberUniqueName="[Calendar_Date].[Date (Day)].[All]" allUniqueName="[Calendar_Date].[Date (Day)].[All]" dimensionUniqueName="[Calendar_Date]" displayFolder="" count="2" memberValueDatatype="130" unbalanced="0">
      <fieldsUsage count="2">
        <fieldUsage x="-1"/>
        <fieldUsage x="1"/>
      </fieldsUsage>
    </cacheHierarchy>
    <cacheHierarchy uniqueName="[Calendar_Date].[Date (Year)]" caption="Date (Year)" attribute="1" defaultMemberUniqueName="[Calendar_Date].[Date (Year)].[All]" allUniqueName="[Calendar_Date].[Date (Year)].[All]" dimensionUniqueName="[Calendar_Date]" displayFolder="" count="2" memberValueDatatype="130" unbalanced="0">
      <fieldsUsage count="2">
        <fieldUsage x="-1"/>
        <fieldUsage x="3"/>
      </fieldsUsage>
    </cacheHierarchy>
    <cacheHierarchy uniqueName="[Calendar_Date].[Date (Quarter)]" caption="Date (Quarter)" attribute="1" defaultMemberUniqueName="[Calendar_Date].[Date (Quarter)].[All]" allUniqueName="[Calendar_Date].[Date (Quarter)].[All]" dimensionUniqueName="[Calendar_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1 (Year)]" caption="Patient Admission Date.1 (Year)" attribute="1" defaultMemberUniqueName="[Hospital Emergency Room Data].[Patient Admission Date.1 (Year)].[All]" allUniqueName="[Hospital Emergency Room Data].[Patient Admission Date.1 (Year)].[All]" dimensionUniqueName="[Hospital Emergency Room Data]" displayFolder="" count="0" memberValueDatatype="130" unbalanced="0"/>
    <cacheHierarchy uniqueName="[Hospital Emergency Room Data].[Patient Admission Date.1 (Quarter)]" caption="Patient Admission Date.1 (Quarter)" attribute="1" defaultMemberUniqueName="[Hospital Emergency Room Data].[Patient Admission Date.1 (Quarter)].[All]" allUniqueName="[Hospital Emergency Room Data].[Patient Admission Date.1 (Quarter)].[All]" dimensionUniqueName="[Hospital Emergency Room Data]" displayFolder="" count="0" memberValueDatatype="130" unbalanced="0"/>
    <cacheHierarchy uniqueName="[Hospital Emergency Room Data].[Patient Admission Date.1 (Month)]" caption="Patient Admission Date.1 (Month)" attribute="1" defaultMemberUniqueName="[Hospital Emergency Room Data].[Patient Admission Date.1 (Month)].[All]" allUniqueName="[Hospital Emergency Room Data].[Patient Admission Date.1 (Month)].[All]" dimensionUniqueName="[Hospital Emergency Room Data]" displayFolder="" count="0" memberValueDatatype="130" unbalanced="0"/>
    <cacheHierarchy uniqueName="[Calendar_Date].[Date (Day Index)]" caption="Date (Day Index)" attribute="1" defaultMemberUniqueName="[Calendar_Date].[Date (Day Index)].[All]" allUniqueName="[Calendar_Date].[Date (Day Index)].[All]" dimensionUniqueName="[Calendar_Date]" displayFolder="" count="0" memberValueDatatype="5" unbalanced="0" hidden="1"/>
    <cacheHierarchy uniqueName="[Calendar_Date].[Date (Month Index)]" caption="Date (Month Index)" attribute="1" defaultMemberUniqueName="[Calendar_Date].[Date (Month Index)].[All]" allUniqueName="[Calendar_Date].[Date (Month Index)].[All]" dimensionUniqueName="[Calendar_Date]" displayFolder="" count="0" memberValueDatatype="20" unbalanced="0" hidden="1"/>
    <cacheHierarchy uniqueName="[Hospital Emergency Room Data].[Patient Admission Date.1 (Month Index)]" caption="Patient Admission Date.1 (Month Index)" attribute="1" defaultMemberUniqueName="[Hospital Emergency Room Data].[Patient Admission Date.1 (Month Index)].[All]" allUniqueName="[Hospital Emergency Room Data].[Patient Admission Date.1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Date]" caption="__XL_Count Calendar_Date" measure="1" displayFolder="" measureGroup="Calendar_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Date.1]" caption="Count of Patient Admission Date.1"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ar_Date" uniqueName="[Calendar_Date]" caption="Calendar_Date"/>
    <dimension name="Hospital Emergency Room Data" uniqueName="[Hospital Emergency Room Data]" caption="Hospital Emergency Room Data"/>
    <dimension measure="1" name="Measures" uniqueName="[Measures]" caption="Measures"/>
  </dimensions>
  <measureGroups count="2">
    <measureGroup name="Calendar_Date" caption="Calendar_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r" refreshedDate="45846.438939120373" createdVersion="5" refreshedVersion="8" minRefreshableVersion="3" recordCount="0" supportSubquery="1" supportAdvancedDrill="1" xr:uid="{C32B891C-7CD4-4974-A144-9E7678CBD29A}">
  <cacheSource type="external" connectionId="3"/>
  <cacheFields count="4">
    <cacheField name="[Calendar_Date].[Date (Day)].[Date (Day)]" caption="Date (Day)" numFmtId="0" hierarchy="2" level="1">
      <sharedItems count="9">
        <s v="4-Jan"/>
        <s v="5-Jan"/>
        <s v="6-Jan"/>
        <s v="7-Jan"/>
        <s v="8-Jan"/>
        <s v="9-Jan"/>
        <s v="10-Jan"/>
        <s v="11-Jan"/>
        <s v="12-Jan"/>
      </sharedItems>
    </cacheField>
    <cacheField name="[Calendar_Date].[Date (Month)].[Date (Month)]" caption="Date (Month)" numFmtId="0" hierarchy="1" level="1">
      <sharedItems containsSemiMixedTypes="0" containsNonDate="0" containsString="0"/>
    </cacheField>
    <cacheField name="[Measures].[Average of Patient Satisfaction Score]" caption="Average of Patient Satisfaction Score" numFmtId="0" hierarchy="31" level="32767"/>
    <cacheField name="[Calendar_Date].[Date (Year)].[Date (Year)]" caption="Date (Year)" numFmtId="0" hierarchy="3" level="1">
      <sharedItems containsSemiMixedTypes="0" containsNonDate="0" containsString="0"/>
    </cacheField>
  </cacheFields>
  <cacheHierarchies count="38">
    <cacheHierarchy uniqueName="[Calendar_Date].[Date]" caption="Date" attribute="1" time="1" defaultMemberUniqueName="[Calendar_Date].[Date].[All]" allUniqueName="[Calendar_Date].[Date].[All]" dimensionUniqueName="[Calendar_Date]" displayFolder="" count="0" memberValueDatatype="7" unbalanced="0"/>
    <cacheHierarchy uniqueName="[Calendar_Date].[Date (Month)]" caption="Date (Month)" attribute="1" defaultMemberUniqueName="[Calendar_Date].[Date (Month)].[All]" allUniqueName="[Calendar_Date].[Date (Month)].[All]" dimensionUniqueName="[Calendar_Date]" displayFolder="" count="2" memberValueDatatype="130" unbalanced="0">
      <fieldsUsage count="2">
        <fieldUsage x="-1"/>
        <fieldUsage x="1"/>
      </fieldsUsage>
    </cacheHierarchy>
    <cacheHierarchy uniqueName="[Calendar_Date].[Date (Day)]" caption="Date (Day)" attribute="1" defaultMemberUniqueName="[Calendar_Date].[Date (Day)].[All]" allUniqueName="[Calendar_Date].[Date (Day)].[All]" dimensionUniqueName="[Calendar_Date]" displayFolder="" count="2" memberValueDatatype="130" unbalanced="0">
      <fieldsUsage count="2">
        <fieldUsage x="-1"/>
        <fieldUsage x="0"/>
      </fieldsUsage>
    </cacheHierarchy>
    <cacheHierarchy uniqueName="[Calendar_Date].[Date (Year)]" caption="Date (Year)" attribute="1" defaultMemberUniqueName="[Calendar_Date].[Date (Year)].[All]" allUniqueName="[Calendar_Date].[Date (Year)].[All]" dimensionUniqueName="[Calendar_Date]" displayFolder="" count="2" memberValueDatatype="130" unbalanced="0">
      <fieldsUsage count="2">
        <fieldUsage x="-1"/>
        <fieldUsage x="3"/>
      </fieldsUsage>
    </cacheHierarchy>
    <cacheHierarchy uniqueName="[Calendar_Date].[Date (Quarter)]" caption="Date (Quarter)" attribute="1" defaultMemberUniqueName="[Calendar_Date].[Date (Quarter)].[All]" allUniqueName="[Calendar_Date].[Date (Quarter)].[All]" dimensionUniqueName="[Calendar_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1 (Year)]" caption="Patient Admission Date.1 (Year)" attribute="1" defaultMemberUniqueName="[Hospital Emergency Room Data].[Patient Admission Date.1 (Year)].[All]" allUniqueName="[Hospital Emergency Room Data].[Patient Admission Date.1 (Year)].[All]" dimensionUniqueName="[Hospital Emergency Room Data]" displayFolder="" count="0" memberValueDatatype="130" unbalanced="0"/>
    <cacheHierarchy uniqueName="[Hospital Emergency Room Data].[Patient Admission Date.1 (Quarter)]" caption="Patient Admission Date.1 (Quarter)" attribute="1" defaultMemberUniqueName="[Hospital Emergency Room Data].[Patient Admission Date.1 (Quarter)].[All]" allUniqueName="[Hospital Emergency Room Data].[Patient Admission Date.1 (Quarter)].[All]" dimensionUniqueName="[Hospital Emergency Room Data]" displayFolder="" count="0" memberValueDatatype="130" unbalanced="0"/>
    <cacheHierarchy uniqueName="[Hospital Emergency Room Data].[Patient Admission Date.1 (Month)]" caption="Patient Admission Date.1 (Month)" attribute="1" defaultMemberUniqueName="[Hospital Emergency Room Data].[Patient Admission Date.1 (Month)].[All]" allUniqueName="[Hospital Emergency Room Data].[Patient Admission Date.1 (Month)].[All]" dimensionUniqueName="[Hospital Emergency Room Data]" displayFolder="" count="0" memberValueDatatype="130" unbalanced="0"/>
    <cacheHierarchy uniqueName="[Calendar_Date].[Date (Day Index)]" caption="Date (Day Index)" attribute="1" defaultMemberUniqueName="[Calendar_Date].[Date (Day Index)].[All]" allUniqueName="[Calendar_Date].[Date (Day Index)].[All]" dimensionUniqueName="[Calendar_Date]" displayFolder="" count="0" memberValueDatatype="5" unbalanced="0" hidden="1"/>
    <cacheHierarchy uniqueName="[Calendar_Date].[Date (Month Index)]" caption="Date (Month Index)" attribute="1" defaultMemberUniqueName="[Calendar_Date].[Date (Month Index)].[All]" allUniqueName="[Calendar_Date].[Date (Month Index)].[All]" dimensionUniqueName="[Calendar_Date]" displayFolder="" count="0" memberValueDatatype="20" unbalanced="0" hidden="1"/>
    <cacheHierarchy uniqueName="[Hospital Emergency Room Data].[Patient Admission Date.1 (Month Index)]" caption="Patient Admission Date.1 (Month Index)" attribute="1" defaultMemberUniqueName="[Hospital Emergency Room Data].[Patient Admission Date.1 (Month Index)].[All]" allUniqueName="[Hospital Emergency Room Data].[Patient Admission Date.1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Date]" caption="__XL_Count Calendar_Date" measure="1" displayFolder="" measureGroup="Calendar_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Patient Admission Date.1]" caption="Count of Patient Admission Date.1"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ar_Date" uniqueName="[Calendar_Date]" caption="Calendar_Date"/>
    <dimension name="Hospital Emergency Room Data" uniqueName="[Hospital Emergency Room Data]" caption="Hospital Emergency Room Data"/>
    <dimension measure="1" name="Measures" uniqueName="[Measures]" caption="Measures"/>
  </dimensions>
  <measureGroups count="2">
    <measureGroup name="Calendar_Date" caption="Calendar_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r" refreshedDate="45846.438939467589" createdVersion="5" refreshedVersion="8" minRefreshableVersion="3" recordCount="0" supportSubquery="1" supportAdvancedDrill="1" xr:uid="{4356A17B-3EB2-4F46-A859-70DCA01B9B3C}">
  <cacheSource type="external" connectionId="3"/>
  <cacheFields count="5">
    <cacheField name="[Calendar_Date].[Date (Month)].[Date (Month)]" caption="Date (Month)" numFmtId="0" hierarchy="1" level="1">
      <sharedItems containsSemiMixedTypes="0" containsNonDate="0" containsString="0"/>
    </cacheField>
    <cacheField name="[Measures].[Count of Patient Admission Flag]" caption="Count of Patient Admission Flag" numFmtId="0" hierarchy="33" level="32767"/>
    <cacheField name="[Hospital Emergency Room Data].[Patient Admission Flag].[Patient Admission Flag]" caption="Patient Admission Flag" numFmtId="0" hierarchy="12" level="1">
      <sharedItems count="2">
        <s v="Admitted"/>
        <s v="Not Admitted"/>
      </sharedItems>
    </cacheField>
    <cacheField name="[Calendar_Date].[Date (Year)].[Date (Year)]" caption="Date (Year)" numFmtId="0" hierarchy="3" level="1">
      <sharedItems containsSemiMixedTypes="0" containsNonDate="0" containsString="0"/>
    </cacheField>
    <cacheField name="Dummy0" numFmtId="0" hierarchy="38" level="32767">
      <extLst>
        <ext xmlns:x14="http://schemas.microsoft.com/office/spreadsheetml/2009/9/main" uri="{63CAB8AC-B538-458d-9737-405883B0398D}">
          <x14:cacheField ignore="1"/>
        </ext>
      </extLst>
    </cacheField>
  </cacheFields>
  <cacheHierarchies count="39">
    <cacheHierarchy uniqueName="[Calendar_Date].[Date]" caption="Date" attribute="1" time="1" defaultMemberUniqueName="[Calendar_Date].[Date].[All]" allUniqueName="[Calendar_Date].[Date].[All]" dimensionUniqueName="[Calendar_Date]" displayFolder="" count="0" memberValueDatatype="7" unbalanced="0"/>
    <cacheHierarchy uniqueName="[Calendar_Date].[Date (Month)]" caption="Date (Month)" attribute="1" defaultMemberUniqueName="[Calendar_Date].[Date (Month)].[All]" allUniqueName="[Calendar_Date].[Date (Month)].[All]" dimensionUniqueName="[Calendar_Date]" displayFolder="" count="2" memberValueDatatype="130" unbalanced="0">
      <fieldsUsage count="2">
        <fieldUsage x="-1"/>
        <fieldUsage x="0"/>
      </fieldsUsage>
    </cacheHierarchy>
    <cacheHierarchy uniqueName="[Calendar_Date].[Date (Day)]" caption="Date (Day)" attribute="1" defaultMemberUniqueName="[Calendar_Date].[Date (Day)].[All]" allUniqueName="[Calendar_Date].[Date (Day)].[All]" dimensionUniqueName="[Calendar_Date]" displayFolder="" count="0" memberValueDatatype="130" unbalanced="0"/>
    <cacheHierarchy uniqueName="[Calendar_Date].[Date (Year)]" caption="Date (Year)" attribute="1" defaultMemberUniqueName="[Calendar_Date].[Date (Year)].[All]" allUniqueName="[Calendar_Date].[Date (Year)].[All]" dimensionUniqueName="[Calendar_Date]" displayFolder="" count="2" memberValueDatatype="130" unbalanced="0">
      <fieldsUsage count="2">
        <fieldUsage x="-1"/>
        <fieldUsage x="3"/>
      </fieldsUsage>
    </cacheHierarchy>
    <cacheHierarchy uniqueName="[Calendar_Date].[Date (Quarter)]" caption="Date (Quarter)" attribute="1" defaultMemberUniqueName="[Calendar_Date].[Date (Quarter)].[All]" allUniqueName="[Calendar_Date].[Date (Quarter)].[All]" dimensionUniqueName="[Calendar_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1 (Year)]" caption="Patient Admission Date.1 (Year)" attribute="1" defaultMemberUniqueName="[Hospital Emergency Room Data].[Patient Admission Date.1 (Year)].[All]" allUniqueName="[Hospital Emergency Room Data].[Patient Admission Date.1 (Year)].[All]" dimensionUniqueName="[Hospital Emergency Room Data]" displayFolder="" count="0" memberValueDatatype="130" unbalanced="0"/>
    <cacheHierarchy uniqueName="[Hospital Emergency Room Data].[Patient Admission Date.1 (Quarter)]" caption="Patient Admission Date.1 (Quarter)" attribute="1" defaultMemberUniqueName="[Hospital Emergency Room Data].[Patient Admission Date.1 (Quarter)].[All]" allUniqueName="[Hospital Emergency Room Data].[Patient Admission Date.1 (Quarter)].[All]" dimensionUniqueName="[Hospital Emergency Room Data]" displayFolder="" count="0" memberValueDatatype="130" unbalanced="0"/>
    <cacheHierarchy uniqueName="[Hospital Emergency Room Data].[Patient Admission Date.1 (Month)]" caption="Patient Admission Date.1 (Month)" attribute="1" defaultMemberUniqueName="[Hospital Emergency Room Data].[Patient Admission Date.1 (Month)].[All]" allUniqueName="[Hospital Emergency Room Data].[Patient Admission Date.1 (Month)].[All]" dimensionUniqueName="[Hospital Emergency Room Data]" displayFolder="" count="0" memberValueDatatype="130" unbalanced="0"/>
    <cacheHierarchy uniqueName="[Calendar_Date].[Date (Day Index)]" caption="Date (Day Index)" attribute="1" defaultMemberUniqueName="[Calendar_Date].[Date (Day Index)].[All]" allUniqueName="[Calendar_Date].[Date (Day Index)].[All]" dimensionUniqueName="[Calendar_Date]" displayFolder="" count="0" memberValueDatatype="5" unbalanced="0" hidden="1"/>
    <cacheHierarchy uniqueName="[Calendar_Date].[Date (Month Index)]" caption="Date (Month Index)" attribute="1" defaultMemberUniqueName="[Calendar_Date].[Date (Month Index)].[All]" allUniqueName="[Calendar_Date].[Date (Month Index)].[All]" dimensionUniqueName="[Calendar_Date]" displayFolder="" count="0" memberValueDatatype="20" unbalanced="0" hidden="1"/>
    <cacheHierarchy uniqueName="[Hospital Emergency Room Data].[Patient Admission Date.1 (Month Index)]" caption="Patient Admission Date.1 (Month Index)" attribute="1" defaultMemberUniqueName="[Hospital Emergency Room Data].[Patient Admission Date.1 (Month Index)].[All]" allUniqueName="[Hospital Emergency Room Data].[Patient Admission Date.1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Date]" caption="__XL_Count Calendar_Date" measure="1" displayFolder="" measureGroup="Calendar_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Date.1]" caption="Count of Patient Admission Date.1"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ar_Date" uniqueName="[Calendar_Date]" caption="Calendar_Date"/>
    <dimension name="Hospital Emergency Room Data" uniqueName="[Hospital Emergency Room Data]" caption="Hospital Emergency Room Data"/>
    <dimension measure="1" name="Measures" uniqueName="[Measures]" caption="Measures"/>
  </dimensions>
  <measureGroups count="2">
    <measureGroup name="Calendar_Date" caption="Calendar_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r" refreshedDate="45846.438939930558" createdVersion="5" refreshedVersion="8" minRefreshableVersion="3" recordCount="0" supportSubquery="1" supportAdvancedDrill="1" xr:uid="{A368A55B-314E-475A-95B5-4D501A2CC9C6}">
  <cacheSource type="external" connectionId="3"/>
  <cacheFields count="4">
    <cacheField name="[Calendar_Date].[Date (Month)].[Date (Month)]" caption="Date (Month)" numFmtId="0" hierarchy="1" level="1">
      <sharedItems containsSemiMixedTypes="0" containsNonDate="0" containsString="0"/>
    </cacheField>
    <cacheField name="[Measures].[Count of Age Group]" caption="Count of Age Group" numFmtId="0" hierarchy="34" level="32767"/>
    <cacheField name="[Hospital Emergency Room Data].[Age Group].[Age Group]" caption="Age Group" numFmtId="0" hierarchy="15" level="1">
      <sharedItems count="8">
        <s v="0-9"/>
        <s v="10-19"/>
        <s v="20-29"/>
        <s v="30-39"/>
        <s v="40-49"/>
        <s v="50-59"/>
        <s v="60-69"/>
        <s v="70-79"/>
      </sharedItems>
    </cacheField>
    <cacheField name="[Calendar_Date].[Date (Year)].[Date (Year)]" caption="Date (Year)" numFmtId="0" hierarchy="3" level="1">
      <sharedItems containsSemiMixedTypes="0" containsNonDate="0" containsString="0"/>
    </cacheField>
  </cacheFields>
  <cacheHierarchies count="38">
    <cacheHierarchy uniqueName="[Calendar_Date].[Date]" caption="Date" attribute="1" time="1" defaultMemberUniqueName="[Calendar_Date].[Date].[All]" allUniqueName="[Calendar_Date].[Date].[All]" dimensionUniqueName="[Calendar_Date]" displayFolder="" count="0" memberValueDatatype="7" unbalanced="0"/>
    <cacheHierarchy uniqueName="[Calendar_Date].[Date (Month)]" caption="Date (Month)" attribute="1" defaultMemberUniqueName="[Calendar_Date].[Date (Month)].[All]" allUniqueName="[Calendar_Date].[Date (Month)].[All]" dimensionUniqueName="[Calendar_Date]" displayFolder="" count="2" memberValueDatatype="130" unbalanced="0">
      <fieldsUsage count="2">
        <fieldUsage x="-1"/>
        <fieldUsage x="0"/>
      </fieldsUsage>
    </cacheHierarchy>
    <cacheHierarchy uniqueName="[Calendar_Date].[Date (Day)]" caption="Date (Day)" attribute="1" defaultMemberUniqueName="[Calendar_Date].[Date (Day)].[All]" allUniqueName="[Calendar_Date].[Date (Day)].[All]" dimensionUniqueName="[Calendar_Date]" displayFolder="" count="0" memberValueDatatype="130" unbalanced="0"/>
    <cacheHierarchy uniqueName="[Calendar_Date].[Date (Year)]" caption="Date (Year)" attribute="1" defaultMemberUniqueName="[Calendar_Date].[Date (Year)].[All]" allUniqueName="[Calendar_Date].[Date (Year)].[All]" dimensionUniqueName="[Calendar_Date]" displayFolder="" count="2" memberValueDatatype="130" unbalanced="0">
      <fieldsUsage count="2">
        <fieldUsage x="-1"/>
        <fieldUsage x="3"/>
      </fieldsUsage>
    </cacheHierarchy>
    <cacheHierarchy uniqueName="[Calendar_Date].[Date (Quarter)]" caption="Date (Quarter)" attribute="1" defaultMemberUniqueName="[Calendar_Date].[Date (Quarter)].[All]" allUniqueName="[Calendar_Date].[Date (Quarter)].[All]" dimensionUniqueName="[Calendar_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2"/>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1 (Year)]" caption="Patient Admission Date.1 (Year)" attribute="1" defaultMemberUniqueName="[Hospital Emergency Room Data].[Patient Admission Date.1 (Year)].[All]" allUniqueName="[Hospital Emergency Room Data].[Patient Admission Date.1 (Year)].[All]" dimensionUniqueName="[Hospital Emergency Room Data]" displayFolder="" count="0" memberValueDatatype="130" unbalanced="0"/>
    <cacheHierarchy uniqueName="[Hospital Emergency Room Data].[Patient Admission Date.1 (Quarter)]" caption="Patient Admission Date.1 (Quarter)" attribute="1" defaultMemberUniqueName="[Hospital Emergency Room Data].[Patient Admission Date.1 (Quarter)].[All]" allUniqueName="[Hospital Emergency Room Data].[Patient Admission Date.1 (Quarter)].[All]" dimensionUniqueName="[Hospital Emergency Room Data]" displayFolder="" count="0" memberValueDatatype="130" unbalanced="0"/>
    <cacheHierarchy uniqueName="[Hospital Emergency Room Data].[Patient Admission Date.1 (Month)]" caption="Patient Admission Date.1 (Month)" attribute="1" defaultMemberUniqueName="[Hospital Emergency Room Data].[Patient Admission Date.1 (Month)].[All]" allUniqueName="[Hospital Emergency Room Data].[Patient Admission Date.1 (Month)].[All]" dimensionUniqueName="[Hospital Emergency Room Data]" displayFolder="" count="0" memberValueDatatype="130" unbalanced="0"/>
    <cacheHierarchy uniqueName="[Calendar_Date].[Date (Day Index)]" caption="Date (Day Index)" attribute="1" defaultMemberUniqueName="[Calendar_Date].[Date (Day Index)].[All]" allUniqueName="[Calendar_Date].[Date (Day Index)].[All]" dimensionUniqueName="[Calendar_Date]" displayFolder="" count="0" memberValueDatatype="5" unbalanced="0" hidden="1"/>
    <cacheHierarchy uniqueName="[Calendar_Date].[Date (Month Index)]" caption="Date (Month Index)" attribute="1" defaultMemberUniqueName="[Calendar_Date].[Date (Month Index)].[All]" allUniqueName="[Calendar_Date].[Date (Month Index)].[All]" dimensionUniqueName="[Calendar_Date]" displayFolder="" count="0" memberValueDatatype="20" unbalanced="0" hidden="1"/>
    <cacheHierarchy uniqueName="[Hospital Emergency Room Data].[Patient Admission Date.1 (Month Index)]" caption="Patient Admission Date.1 (Month Index)" attribute="1" defaultMemberUniqueName="[Hospital Emergency Room Data].[Patient Admission Date.1 (Month Index)].[All]" allUniqueName="[Hospital Emergency Room Data].[Patient Admission Date.1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Date]" caption="__XL_Count Calendar_Date" measure="1" displayFolder="" measureGroup="Calendar_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Date.1]" caption="Count of Patient Admission Date.1"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ar_Date" uniqueName="[Calendar_Date]" caption="Calendar_Date"/>
    <dimension name="Hospital Emergency Room Data" uniqueName="[Hospital Emergency Room Data]" caption="Hospital Emergency Room Data"/>
    <dimension measure="1" name="Measures" uniqueName="[Measures]" caption="Measures"/>
  </dimensions>
  <measureGroups count="2">
    <measureGroup name="Calendar_Date" caption="Calendar_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r" refreshedDate="45846.438940509259" createdVersion="5" refreshedVersion="8" minRefreshableVersion="3" recordCount="0" supportSubquery="1" supportAdvancedDrill="1" xr:uid="{8208ACE5-A2A1-4E7A-9FDB-E0E507682FAA}">
  <cacheSource type="external" connectionId="3"/>
  <cacheFields count="4">
    <cacheField name="[Calendar_Dat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6" level="1">
      <sharedItems count="2">
        <s v="Delay"/>
        <s v="On time"/>
      </sharedItems>
    </cacheField>
    <cacheField name="[Measures].[Count of Patient attend Status]" caption="Count of Patient attend Status" numFmtId="0" hierarchy="35" level="32767"/>
    <cacheField name="[Calendar_Date].[Date (Year)].[Date (Year)]" caption="Date (Year)" numFmtId="0" hierarchy="3" level="1">
      <sharedItems containsSemiMixedTypes="0" containsNonDate="0" containsString="0"/>
    </cacheField>
  </cacheFields>
  <cacheHierarchies count="38">
    <cacheHierarchy uniqueName="[Calendar_Date].[Date]" caption="Date" attribute="1" time="1" defaultMemberUniqueName="[Calendar_Date].[Date].[All]" allUniqueName="[Calendar_Date].[Date].[All]" dimensionUniqueName="[Calendar_Date]" displayFolder="" count="0" memberValueDatatype="7" unbalanced="0"/>
    <cacheHierarchy uniqueName="[Calendar_Date].[Date (Month)]" caption="Date (Month)" attribute="1" defaultMemberUniqueName="[Calendar_Date].[Date (Month)].[All]" allUniqueName="[Calendar_Date].[Date (Month)].[All]" dimensionUniqueName="[Calendar_Date]" displayFolder="" count="2" memberValueDatatype="130" unbalanced="0">
      <fieldsUsage count="2">
        <fieldUsage x="-1"/>
        <fieldUsage x="0"/>
      </fieldsUsage>
    </cacheHierarchy>
    <cacheHierarchy uniqueName="[Calendar_Date].[Date (Day)]" caption="Date (Day)" attribute="1" defaultMemberUniqueName="[Calendar_Date].[Date (Day)].[All]" allUniqueName="[Calendar_Date].[Date (Day)].[All]" dimensionUniqueName="[Calendar_Date]" displayFolder="" count="0" memberValueDatatype="130" unbalanced="0"/>
    <cacheHierarchy uniqueName="[Calendar_Date].[Date (Year)]" caption="Date (Year)" attribute="1" defaultMemberUniqueName="[Calendar_Date].[Date (Year)].[All]" allUniqueName="[Calendar_Date].[Date (Year)].[All]" dimensionUniqueName="[Calendar_Date]" displayFolder="" count="2" memberValueDatatype="130" unbalanced="0">
      <fieldsUsage count="2">
        <fieldUsage x="-1"/>
        <fieldUsage x="3"/>
      </fieldsUsage>
    </cacheHierarchy>
    <cacheHierarchy uniqueName="[Calendar_Date].[Date (Quarter)]" caption="Date (Quarter)" attribute="1" defaultMemberUniqueName="[Calendar_Date].[Date (Quarter)].[All]" allUniqueName="[Calendar_Date].[Date (Quarter)].[All]" dimensionUniqueName="[Calendar_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Hospital Emergency Room Data].[Patient Admission Date.1 (Year)]" caption="Patient Admission Date.1 (Year)" attribute="1" defaultMemberUniqueName="[Hospital Emergency Room Data].[Patient Admission Date.1 (Year)].[All]" allUniqueName="[Hospital Emergency Room Data].[Patient Admission Date.1 (Year)].[All]" dimensionUniqueName="[Hospital Emergency Room Data]" displayFolder="" count="0" memberValueDatatype="130" unbalanced="0"/>
    <cacheHierarchy uniqueName="[Hospital Emergency Room Data].[Patient Admission Date.1 (Quarter)]" caption="Patient Admission Date.1 (Quarter)" attribute="1" defaultMemberUniqueName="[Hospital Emergency Room Data].[Patient Admission Date.1 (Quarter)].[All]" allUniqueName="[Hospital Emergency Room Data].[Patient Admission Date.1 (Quarter)].[All]" dimensionUniqueName="[Hospital Emergency Room Data]" displayFolder="" count="0" memberValueDatatype="130" unbalanced="0"/>
    <cacheHierarchy uniqueName="[Hospital Emergency Room Data].[Patient Admission Date.1 (Month)]" caption="Patient Admission Date.1 (Month)" attribute="1" defaultMemberUniqueName="[Hospital Emergency Room Data].[Patient Admission Date.1 (Month)].[All]" allUniqueName="[Hospital Emergency Room Data].[Patient Admission Date.1 (Month)].[All]" dimensionUniqueName="[Hospital Emergency Room Data]" displayFolder="" count="0" memberValueDatatype="130" unbalanced="0"/>
    <cacheHierarchy uniqueName="[Calendar_Date].[Date (Day Index)]" caption="Date (Day Index)" attribute="1" defaultMemberUniqueName="[Calendar_Date].[Date (Day Index)].[All]" allUniqueName="[Calendar_Date].[Date (Day Index)].[All]" dimensionUniqueName="[Calendar_Date]" displayFolder="" count="0" memberValueDatatype="5" unbalanced="0" hidden="1"/>
    <cacheHierarchy uniqueName="[Calendar_Date].[Date (Month Index)]" caption="Date (Month Index)" attribute="1" defaultMemberUniqueName="[Calendar_Date].[Date (Month Index)].[All]" allUniqueName="[Calendar_Date].[Date (Month Index)].[All]" dimensionUniqueName="[Calendar_Date]" displayFolder="" count="0" memberValueDatatype="20" unbalanced="0" hidden="1"/>
    <cacheHierarchy uniqueName="[Hospital Emergency Room Data].[Patient Admission Date.1 (Month Index)]" caption="Patient Admission Date.1 (Month Index)" attribute="1" defaultMemberUniqueName="[Hospital Emergency Room Data].[Patient Admission Date.1 (Month Index)].[All]" allUniqueName="[Hospital Emergency Room Data].[Patient Admission Date.1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Date]" caption="__XL_Count Calendar_Date" measure="1" displayFolder="" measureGroup="Calendar_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Date.1]" caption="Count of Patient Admission Date.1"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ar_Date" uniqueName="[Calendar_Date]" caption="Calendar_Date"/>
    <dimension name="Hospital Emergency Room Data" uniqueName="[Hospital Emergency Room Data]" caption="Hospital Emergency Room Data"/>
    <dimension measure="1" name="Measures" uniqueName="[Measures]" caption="Measures"/>
  </dimensions>
  <measureGroups count="2">
    <measureGroup name="Calendar_Date" caption="Calendar_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r" refreshedDate="45846.438941087959" createdVersion="5" refreshedVersion="8" minRefreshableVersion="3" recordCount="0" supportSubquery="1" supportAdvancedDrill="1" xr:uid="{C1F6592C-8DE4-4A40-8CDD-7C8C90EF3BC3}">
  <cacheSource type="external" connectionId="3"/>
  <cacheFields count="4">
    <cacheField name="[Calendar_Date].[Date (Month)].[Date (Month)]" caption="Date (Month)" numFmtId="0" hierarchy="1" level="1">
      <sharedItems containsSemiMixedTypes="0" containsNonDate="0" containsString="0"/>
    </cacheField>
    <cacheField name="[Hospital Emergency Room Data].[Patient Gender].[Patient Gender]" caption="Patient Gender" numFmtId="0" hierarchy="8" level="1">
      <sharedItems count="2">
        <s v="Female"/>
        <s v="Male"/>
      </sharedItems>
    </cacheField>
    <cacheField name="[Measures].[Count of Patient Gender]" caption="Count of Patient Gender" numFmtId="0" hierarchy="36" level="32767"/>
    <cacheField name="[Calendar_Date].[Date (Year)].[Date (Year)]" caption="Date (Year)" numFmtId="0" hierarchy="3" level="1">
      <sharedItems containsSemiMixedTypes="0" containsNonDate="0" containsString="0"/>
    </cacheField>
  </cacheFields>
  <cacheHierarchies count="38">
    <cacheHierarchy uniqueName="[Calendar_Date].[Date]" caption="Date" attribute="1" time="1" defaultMemberUniqueName="[Calendar_Date].[Date].[All]" allUniqueName="[Calendar_Date].[Date].[All]" dimensionUniqueName="[Calendar_Date]" displayFolder="" count="0" memberValueDatatype="7" unbalanced="0"/>
    <cacheHierarchy uniqueName="[Calendar_Date].[Date (Month)]" caption="Date (Month)" attribute="1" defaultMemberUniqueName="[Calendar_Date].[Date (Month)].[All]" allUniqueName="[Calendar_Date].[Date (Month)].[All]" dimensionUniqueName="[Calendar_Date]" displayFolder="" count="2" memberValueDatatype="130" unbalanced="0">
      <fieldsUsage count="2">
        <fieldUsage x="-1"/>
        <fieldUsage x="0"/>
      </fieldsUsage>
    </cacheHierarchy>
    <cacheHierarchy uniqueName="[Calendar_Date].[Date (Day)]" caption="Date (Day)" attribute="1" defaultMemberUniqueName="[Calendar_Date].[Date (Day)].[All]" allUniqueName="[Calendar_Date].[Date (Day)].[All]" dimensionUniqueName="[Calendar_Date]" displayFolder="" count="0" memberValueDatatype="130" unbalanced="0"/>
    <cacheHierarchy uniqueName="[Calendar_Date].[Date (Year)]" caption="Date (Year)" attribute="1" defaultMemberUniqueName="[Calendar_Date].[Date (Year)].[All]" allUniqueName="[Calendar_Date].[Date (Year)].[All]" dimensionUniqueName="[Calendar_Date]" displayFolder="" count="2" memberValueDatatype="130" unbalanced="0">
      <fieldsUsage count="2">
        <fieldUsage x="-1"/>
        <fieldUsage x="3"/>
      </fieldsUsage>
    </cacheHierarchy>
    <cacheHierarchy uniqueName="[Calendar_Date].[Date (Quarter)]" caption="Date (Quarter)" attribute="1" defaultMemberUniqueName="[Calendar_Date].[Date (Quarter)].[All]" allUniqueName="[Calendar_Date].[Date (Quarter)].[All]" dimensionUniqueName="[Calendar_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1 (Year)]" caption="Patient Admission Date.1 (Year)" attribute="1" defaultMemberUniqueName="[Hospital Emergency Room Data].[Patient Admission Date.1 (Year)].[All]" allUniqueName="[Hospital Emergency Room Data].[Patient Admission Date.1 (Year)].[All]" dimensionUniqueName="[Hospital Emergency Room Data]" displayFolder="" count="0" memberValueDatatype="130" unbalanced="0"/>
    <cacheHierarchy uniqueName="[Hospital Emergency Room Data].[Patient Admission Date.1 (Quarter)]" caption="Patient Admission Date.1 (Quarter)" attribute="1" defaultMemberUniqueName="[Hospital Emergency Room Data].[Patient Admission Date.1 (Quarter)].[All]" allUniqueName="[Hospital Emergency Room Data].[Patient Admission Date.1 (Quarter)].[All]" dimensionUniqueName="[Hospital Emergency Room Data]" displayFolder="" count="0" memberValueDatatype="130" unbalanced="0"/>
    <cacheHierarchy uniqueName="[Hospital Emergency Room Data].[Patient Admission Date.1 (Month)]" caption="Patient Admission Date.1 (Month)" attribute="1" defaultMemberUniqueName="[Hospital Emergency Room Data].[Patient Admission Date.1 (Month)].[All]" allUniqueName="[Hospital Emergency Room Data].[Patient Admission Date.1 (Month)].[All]" dimensionUniqueName="[Hospital Emergency Room Data]" displayFolder="" count="0" memberValueDatatype="130" unbalanced="0"/>
    <cacheHierarchy uniqueName="[Calendar_Date].[Date (Day Index)]" caption="Date (Day Index)" attribute="1" defaultMemberUniqueName="[Calendar_Date].[Date (Day Index)].[All]" allUniqueName="[Calendar_Date].[Date (Day Index)].[All]" dimensionUniqueName="[Calendar_Date]" displayFolder="" count="0" memberValueDatatype="5" unbalanced="0" hidden="1"/>
    <cacheHierarchy uniqueName="[Calendar_Date].[Date (Month Index)]" caption="Date (Month Index)" attribute="1" defaultMemberUniqueName="[Calendar_Date].[Date (Month Index)].[All]" allUniqueName="[Calendar_Date].[Date (Month Index)].[All]" dimensionUniqueName="[Calendar_Date]" displayFolder="" count="0" memberValueDatatype="20" unbalanced="0" hidden="1"/>
    <cacheHierarchy uniqueName="[Hospital Emergency Room Data].[Patient Admission Date.1 (Month Index)]" caption="Patient Admission Date.1 (Month Index)" attribute="1" defaultMemberUniqueName="[Hospital Emergency Room Data].[Patient Admission Date.1 (Month Index)].[All]" allUniqueName="[Hospital Emergency Room Data].[Patient Admission Date.1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Date]" caption="__XL_Count Calendar_Date" measure="1" displayFolder="" measureGroup="Calendar_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Date.1]" caption="Count of Patient Admission Date.1"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ar_Date" uniqueName="[Calendar_Date]" caption="Calendar_Date"/>
    <dimension name="Hospital Emergency Room Data" uniqueName="[Hospital Emergency Room Data]" caption="Hospital Emergency Room Data"/>
    <dimension measure="1" name="Measures" uniqueName="[Measures]" caption="Measures"/>
  </dimensions>
  <measureGroups count="2">
    <measureGroup name="Calendar_Date" caption="Calendar_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r" refreshedDate="45846.438941550929" createdVersion="5" refreshedVersion="8" minRefreshableVersion="3" recordCount="0" supportSubquery="1" supportAdvancedDrill="1" xr:uid="{891B0E43-075F-4B00-8B38-B4BC50D5A928}">
  <cacheSource type="external" connectionId="3"/>
  <cacheFields count="4">
    <cacheField name="[Calendar_Date].[Date (Month)].[Date (Month)]" caption="Date (Month)" numFmtId="0" hierarchy="1" level="1">
      <sharedItems containsSemiMixedTypes="0" containsNonDate="0" containsString="0"/>
    </cacheField>
    <cacheField name="[Hospital Emergency Room Data].[Department Referral].[Department Referral]" caption="Department Referral" numFmtId="0" hierarchy="11" level="1">
      <sharedItems count="8">
        <s v="Cardiology"/>
        <s v="Gastroenterology"/>
        <s v="General Practice"/>
        <s v="Neurology"/>
        <s v="None"/>
        <s v="Orthopedics"/>
        <s v="Physiotherapy"/>
        <s v="Renal"/>
      </sharedItems>
    </cacheField>
    <cacheField name="[Measures].[Count of Department Referral]" caption="Count of Department Referral" numFmtId="0" hierarchy="37" level="32767"/>
    <cacheField name="[Calendar_Date].[Date (Year)].[Date (Year)]" caption="Date (Year)" numFmtId="0" hierarchy="3" level="1">
      <sharedItems containsSemiMixedTypes="0" containsNonDate="0" containsString="0"/>
    </cacheField>
  </cacheFields>
  <cacheHierarchies count="38">
    <cacheHierarchy uniqueName="[Calendar_Date].[Date]" caption="Date" attribute="1" time="1" defaultMemberUniqueName="[Calendar_Date].[Date].[All]" allUniqueName="[Calendar_Date].[Date].[All]" dimensionUniqueName="[Calendar_Date]" displayFolder="" count="0" memberValueDatatype="7" unbalanced="0"/>
    <cacheHierarchy uniqueName="[Calendar_Date].[Date (Month)]" caption="Date (Month)" attribute="1" defaultMemberUniqueName="[Calendar_Date].[Date (Month)].[All]" allUniqueName="[Calendar_Date].[Date (Month)].[All]" dimensionUniqueName="[Calendar_Date]" displayFolder="" count="2" memberValueDatatype="130" unbalanced="0">
      <fieldsUsage count="2">
        <fieldUsage x="-1"/>
        <fieldUsage x="0"/>
      </fieldsUsage>
    </cacheHierarchy>
    <cacheHierarchy uniqueName="[Calendar_Date].[Date (Day)]" caption="Date (Day)" attribute="1" defaultMemberUniqueName="[Calendar_Date].[Date (Day)].[All]" allUniqueName="[Calendar_Date].[Date (Day)].[All]" dimensionUniqueName="[Calendar_Date]" displayFolder="" count="0" memberValueDatatype="130" unbalanced="0"/>
    <cacheHierarchy uniqueName="[Calendar_Date].[Date (Year)]" caption="Date (Year)" attribute="1" defaultMemberUniqueName="[Calendar_Date].[Date (Year)].[All]" allUniqueName="[Calendar_Date].[Date (Year)].[All]" dimensionUniqueName="[Calendar_Date]" displayFolder="" count="2" memberValueDatatype="130" unbalanced="0">
      <fieldsUsage count="2">
        <fieldUsage x="-1"/>
        <fieldUsage x="3"/>
      </fieldsUsage>
    </cacheHierarchy>
    <cacheHierarchy uniqueName="[Calendar_Date].[Date (Quarter)]" caption="Date (Quarter)" attribute="1" defaultMemberUniqueName="[Calendar_Date].[Date (Quarter)].[All]" allUniqueName="[Calendar_Date].[Date (Quarter)].[All]" dimensionUniqueName="[Calendar_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1 (Year)]" caption="Patient Admission Date.1 (Year)" attribute="1" defaultMemberUniqueName="[Hospital Emergency Room Data].[Patient Admission Date.1 (Year)].[All]" allUniqueName="[Hospital Emergency Room Data].[Patient Admission Date.1 (Year)].[All]" dimensionUniqueName="[Hospital Emergency Room Data]" displayFolder="" count="0" memberValueDatatype="130" unbalanced="0"/>
    <cacheHierarchy uniqueName="[Hospital Emergency Room Data].[Patient Admission Date.1 (Quarter)]" caption="Patient Admission Date.1 (Quarter)" attribute="1" defaultMemberUniqueName="[Hospital Emergency Room Data].[Patient Admission Date.1 (Quarter)].[All]" allUniqueName="[Hospital Emergency Room Data].[Patient Admission Date.1 (Quarter)].[All]" dimensionUniqueName="[Hospital Emergency Room Data]" displayFolder="" count="0" memberValueDatatype="130" unbalanced="0"/>
    <cacheHierarchy uniqueName="[Hospital Emergency Room Data].[Patient Admission Date.1 (Month)]" caption="Patient Admission Date.1 (Month)" attribute="1" defaultMemberUniqueName="[Hospital Emergency Room Data].[Patient Admission Date.1 (Month)].[All]" allUniqueName="[Hospital Emergency Room Data].[Patient Admission Date.1 (Month)].[All]" dimensionUniqueName="[Hospital Emergency Room Data]" displayFolder="" count="0" memberValueDatatype="130" unbalanced="0"/>
    <cacheHierarchy uniqueName="[Calendar_Date].[Date (Day Index)]" caption="Date (Day Index)" attribute="1" defaultMemberUniqueName="[Calendar_Date].[Date (Day Index)].[All]" allUniqueName="[Calendar_Date].[Date (Day Index)].[All]" dimensionUniqueName="[Calendar_Date]" displayFolder="" count="0" memberValueDatatype="5" unbalanced="0" hidden="1"/>
    <cacheHierarchy uniqueName="[Calendar_Date].[Date (Month Index)]" caption="Date (Month Index)" attribute="1" defaultMemberUniqueName="[Calendar_Date].[Date (Month Index)].[All]" allUniqueName="[Calendar_Date].[Date (Month Index)].[All]" dimensionUniqueName="[Calendar_Date]" displayFolder="" count="0" memberValueDatatype="20" unbalanced="0" hidden="1"/>
    <cacheHierarchy uniqueName="[Hospital Emergency Room Data].[Patient Admission Date.1 (Month Index)]" caption="Patient Admission Date.1 (Month Index)" attribute="1" defaultMemberUniqueName="[Hospital Emergency Room Data].[Patient Admission Date.1 (Month Index)].[All]" allUniqueName="[Hospital Emergency Room Data].[Patient Admission Date.1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Date]" caption="__XL_Count Calendar_Date" measure="1" displayFolder="" measureGroup="Calendar_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Date.1]" caption="Count of Patient Admission Date.1"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1"/>
        </ext>
      </extLst>
    </cacheHierarchy>
  </cacheHierarchies>
  <kpis count="0"/>
  <dimensions count="3">
    <dimension name="Calendar_Date" uniqueName="[Calendar_Date]" caption="Calendar_Date"/>
    <dimension name="Hospital Emergency Room Data" uniqueName="[Hospital Emergency Room Data]" caption="Hospital Emergency Room Data"/>
    <dimension measure="1" name="Measures" uniqueName="[Measures]" caption="Measures"/>
  </dimensions>
  <measureGroups count="2">
    <measureGroup name="Calendar_Date" caption="Calendar_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r" refreshedDate="45846.438942129629" createdVersion="5" refreshedVersion="8" minRefreshableVersion="3" recordCount="0" supportSubquery="1" supportAdvancedDrill="1" xr:uid="{E9EA4D80-07D2-4C04-B4C7-2313B00F9800}">
  <cacheSource type="external" connectionId="3"/>
  <cacheFields count="4">
    <cacheField name="[Calendar_Date].[Date (Month)].[Date (Month)]" caption="Date (Month)" numFmtId="0" hierarchy="1" level="1">
      <sharedItems count="1">
        <s v="Jan"/>
      </sharedItems>
    </cacheField>
    <cacheField name="[Calendar_Date].[Date].[Date]" caption="Date" numFmtId="0" level="1">
      <sharedItems containsSemiMixedTypes="0" containsNonDate="0" containsDate="1" containsString="0" minDate="2023-01-04T00:00:00" maxDate="2024-02-01T00:00:00" count="38">
        <d v="2023-01-04T00:00:00"/>
        <d v="2023-01-05T00:00:00"/>
        <d v="2023-01-06T00:00:00"/>
        <d v="2023-01-07T00:00:00"/>
        <d v="2023-01-08T00:00:00"/>
        <d v="2023-01-09T00:00:00"/>
        <d v="2023-01-10T00:00:00"/>
        <d v="2023-01-11T00:00:00"/>
        <d v="2023-01-12T00:00:00"/>
        <d v="2024-01-01T00:00:00"/>
        <d v="2024-01-02T00:00:00"/>
        <d v="2024-01-03T00:00:00"/>
        <d v="2024-01-04T00:00:00"/>
        <d v="2024-01-05T00:00:00"/>
        <d v="2024-01-06T00:00:00"/>
        <d v="2024-01-07T00:00:00"/>
        <d v="2024-01-08T00:00:00"/>
        <d v="2024-01-09T00:00:00"/>
        <d v="2024-01-10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ar_Date].[Date (Quarter)].[Date (Quarter)]" caption="Date (Quarter)" numFmtId="0" hierarchy="4" level="1">
      <sharedItems count="1">
        <s v="Qtr1"/>
      </sharedItems>
    </cacheField>
    <cacheField name="[Calendar_Date].[Date (Year)].[Date (Year)]" caption="Date (Year)" numFmtId="0" hierarchy="3" level="1">
      <sharedItems count="1">
        <s v="2023"/>
      </sharedItems>
    </cacheField>
  </cacheFields>
  <cacheHierarchies count="38">
    <cacheHierarchy uniqueName="[Calendar_Date].[Date]" caption="Date" attribute="1" time="1" defaultMemberUniqueName="[Calendar_Date].[Date].[All]" allUniqueName="[Calendar_Date].[Date].[All]" dimensionUniqueName="[Calendar_Date]" displayFolder="" count="2" memberValueDatatype="7" unbalanced="0">
      <fieldsUsage count="2">
        <fieldUsage x="-1"/>
        <fieldUsage x="1"/>
      </fieldsUsage>
    </cacheHierarchy>
    <cacheHierarchy uniqueName="[Calendar_Date].[Date (Month)]" caption="Date (Month)" attribute="1" defaultMemberUniqueName="[Calendar_Date].[Date (Month)].[All]" allUniqueName="[Calendar_Date].[Date (Month)].[All]" dimensionUniqueName="[Calendar_Date]" displayFolder="" count="2" memberValueDatatype="130" unbalanced="0">
      <fieldsUsage count="2">
        <fieldUsage x="-1"/>
        <fieldUsage x="0"/>
      </fieldsUsage>
    </cacheHierarchy>
    <cacheHierarchy uniqueName="[Calendar_Date].[Date (Day)]" caption="Date (Day)" attribute="1" defaultMemberUniqueName="[Calendar_Date].[Date (Day)].[All]" allUniqueName="[Calendar_Date].[Date (Day)].[All]" dimensionUniqueName="[Calendar_Date]" displayFolder="" count="2" memberValueDatatype="130" unbalanced="0"/>
    <cacheHierarchy uniqueName="[Calendar_Date].[Date (Year)]" caption="Date (Year)" attribute="1" defaultMemberUniqueName="[Calendar_Date].[Date (Year)].[All]" allUniqueName="[Calendar_Date].[Date (Year)].[All]" dimensionUniqueName="[Calendar_Date]" displayFolder="" count="2" memberValueDatatype="130" unbalanced="0">
      <fieldsUsage count="2">
        <fieldUsage x="-1"/>
        <fieldUsage x="3"/>
      </fieldsUsage>
    </cacheHierarchy>
    <cacheHierarchy uniqueName="[Calendar_Date].[Date (Quarter)]" caption="Date (Quarter)" attribute="1" defaultMemberUniqueName="[Calendar_Date].[Date (Quarter)].[All]" allUniqueName="[Calendar_Date].[Date (Quarter)].[All]" dimensionUniqueName="[Calendar_Dat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Hospital Emergency Room Data].[Patient Admission Date.1 (Year)]" caption="Patient Admission Date.1 (Year)" attribute="1" defaultMemberUniqueName="[Hospital Emergency Room Data].[Patient Admission Date.1 (Year)].[All]" allUniqueName="[Hospital Emergency Room Data].[Patient Admission Date.1 (Year)].[All]" dimensionUniqueName="[Hospital Emergency Room Data]" displayFolder="" count="2" memberValueDatatype="130" unbalanced="0"/>
    <cacheHierarchy uniqueName="[Hospital Emergency Room Data].[Patient Admission Date.1 (Quarter)]" caption="Patient Admission Date.1 (Quarter)" attribute="1" defaultMemberUniqueName="[Hospital Emergency Room Data].[Patient Admission Date.1 (Quarter)].[All]" allUniqueName="[Hospital Emergency Room Data].[Patient Admission Date.1 (Quarter)].[All]" dimensionUniqueName="[Hospital Emergency Room Data]" displayFolder="" count="2" memberValueDatatype="130" unbalanced="0"/>
    <cacheHierarchy uniqueName="[Hospital Emergency Room Data].[Patient Admission Date.1 (Month)]" caption="Patient Admission Date.1 (Month)" attribute="1" defaultMemberUniqueName="[Hospital Emergency Room Data].[Patient Admission Date.1 (Month)].[All]" allUniqueName="[Hospital Emergency Room Data].[Patient Admission Date.1 (Month)].[All]" dimensionUniqueName="[Hospital Emergency Room Data]" displayFolder="" count="2" memberValueDatatype="130" unbalanced="0"/>
    <cacheHierarchy uniqueName="[Calendar_Date].[Date (Day Index)]" caption="Date (Day Index)" attribute="1" defaultMemberUniqueName="[Calendar_Date].[Date (Day Index)].[All]" allUniqueName="[Calendar_Date].[Date (Day Index)].[All]" dimensionUniqueName="[Calendar_Date]" displayFolder="" count="2" memberValueDatatype="5" unbalanced="0" hidden="1"/>
    <cacheHierarchy uniqueName="[Calendar_Date].[Date (Month Index)]" caption="Date (Month Index)" attribute="1" defaultMemberUniqueName="[Calendar_Date].[Date (Month Index)].[All]" allUniqueName="[Calendar_Date].[Date (Month Index)].[All]" dimensionUniqueName="[Calendar_Date]" displayFolder="" count="2" memberValueDatatype="20" unbalanced="0" hidden="1"/>
    <cacheHierarchy uniqueName="[Hospital Emergency Room Data].[Patient Admission Date.1 (Month Index)]" caption="Patient Admission Date.1 (Month Index)" attribute="1" defaultMemberUniqueName="[Hospital Emergency Room Data].[Patient Admission Date.1 (Month Index)].[All]" allUniqueName="[Hospital Emergency Room Data].[Patient Admission Date.1 (Month Index)].[All]" dimensionUniqueName="[Hospital Emergency Room Data]"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Date]" caption="__XL_Count Calendar_Date" measure="1" displayFolder="" measureGroup="Calendar_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Date.1]" caption="Count of Patient Admission Date.1"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ar_Date" uniqueName="[Calendar_Date]" caption="Calendar_Date"/>
    <dimension name="Hospital Emergency Room Data" uniqueName="[Hospital Emergency Room Data]" caption="Hospital Emergency Room Data"/>
    <dimension measure="1" name="Measures" uniqueName="[Measures]" caption="Measures"/>
  </dimensions>
  <measureGroups count="2">
    <measureGroup name="Calendar_Date" caption="Calendar_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r" refreshedDate="45846.428326851848" createdVersion="3" refreshedVersion="8" minRefreshableVersion="3" recordCount="0" supportSubquery="1" supportAdvancedDrill="1" xr:uid="{34988001-A7C5-42C0-917A-731291E03EA9}">
  <cacheSource type="external" connectionId="3">
    <extLst>
      <ext xmlns:x14="http://schemas.microsoft.com/office/spreadsheetml/2009/9/main" uri="{F057638F-6D5F-4e77-A914-E7F072B9BCA8}">
        <x14:sourceConnection name="ThisWorkbookDataModel"/>
      </ext>
    </extLst>
  </cacheSource>
  <cacheFields count="0"/>
  <cacheHierarchies count="38">
    <cacheHierarchy uniqueName="[Calendar_Date].[Date]" caption="Date" attribute="1" time="1" defaultMemberUniqueName="[Calendar_Date].[Date].[All]" allUniqueName="[Calendar_Date].[Date].[All]" dimensionUniqueName="[Calendar_Date]" displayFolder="" count="0" memberValueDatatype="7" unbalanced="0"/>
    <cacheHierarchy uniqueName="[Calendar_Date].[Date (Month)]" caption="Date (Month)" attribute="1" defaultMemberUniqueName="[Calendar_Date].[Date (Month)].[All]" allUniqueName="[Calendar_Date].[Date (Month)].[All]" dimensionUniqueName="[Calendar_Date]" displayFolder="" count="2" memberValueDatatype="130" unbalanced="0"/>
    <cacheHierarchy uniqueName="[Calendar_Date].[Date (Day)]" caption="Date (Day)" attribute="1" defaultMemberUniqueName="[Calendar_Date].[Date (Day)].[All]" allUniqueName="[Calendar_Date].[Date (Day)].[All]" dimensionUniqueName="[Calendar_Date]" displayFolder="" count="0" memberValueDatatype="130" unbalanced="0"/>
    <cacheHierarchy uniqueName="[Calendar_Date].[Date (Year)]" caption="Date (Year)" attribute="1" defaultMemberUniqueName="[Calendar_Date].[Date (Year)].[All]" allUniqueName="[Calendar_Date].[Date (Year)].[All]" dimensionUniqueName="[Calendar_Date]" displayFolder="" count="2" memberValueDatatype="130" unbalanced="0"/>
    <cacheHierarchy uniqueName="[Calendar_Date].[Date (Quarter)]" caption="Date (Quarter)" attribute="1" defaultMemberUniqueName="[Calendar_Date].[Date (Quarter)].[All]" allUniqueName="[Calendar_Date].[Date (Quarter)].[All]" dimensionUniqueName="[Calendar_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1 (Year)]" caption="Patient Admission Date.1 (Year)" attribute="1" defaultMemberUniqueName="[Hospital Emergency Room Data].[Patient Admission Date.1 (Year)].[All]" allUniqueName="[Hospital Emergency Room Data].[Patient Admission Date.1 (Year)].[All]" dimensionUniqueName="[Hospital Emergency Room Data]" displayFolder="" count="0" memberValueDatatype="130" unbalanced="0"/>
    <cacheHierarchy uniqueName="[Hospital Emergency Room Data].[Patient Admission Date.1 (Quarter)]" caption="Patient Admission Date.1 (Quarter)" attribute="1" defaultMemberUniqueName="[Hospital Emergency Room Data].[Patient Admission Date.1 (Quarter)].[All]" allUniqueName="[Hospital Emergency Room Data].[Patient Admission Date.1 (Quarter)].[All]" dimensionUniqueName="[Hospital Emergency Room Data]" displayFolder="" count="0" memberValueDatatype="130" unbalanced="0"/>
    <cacheHierarchy uniqueName="[Hospital Emergency Room Data].[Patient Admission Date.1 (Month)]" caption="Patient Admission Date.1 (Month)" attribute="1" defaultMemberUniqueName="[Hospital Emergency Room Data].[Patient Admission Date.1 (Month)].[All]" allUniqueName="[Hospital Emergency Room Data].[Patient Admission Date.1 (Month)].[All]" dimensionUniqueName="[Hospital Emergency Room Data]" displayFolder="" count="0" memberValueDatatype="130" unbalanced="0"/>
    <cacheHierarchy uniqueName="[Calendar_Date].[Date (Day Index)]" caption="Date (Day Index)" attribute="1" defaultMemberUniqueName="[Calendar_Date].[Date (Day Index)].[All]" allUniqueName="[Calendar_Date].[Date (Day Index)].[All]" dimensionUniqueName="[Calendar_Date]" displayFolder="" count="0" memberValueDatatype="5" unbalanced="0" hidden="1"/>
    <cacheHierarchy uniqueName="[Calendar_Date].[Date (Month Index)]" caption="Date (Month Index)" attribute="1" defaultMemberUniqueName="[Calendar_Date].[Date (Month Index)].[All]" allUniqueName="[Calendar_Date].[Date (Month Index)].[All]" dimensionUniqueName="[Calendar_Date]" displayFolder="" count="0" memberValueDatatype="20" unbalanced="0" hidden="1"/>
    <cacheHierarchy uniqueName="[Hospital Emergency Room Data].[Patient Admission Date.1 (Month Index)]" caption="Patient Admission Date.1 (Month Index)" attribute="1" defaultMemberUniqueName="[Hospital Emergency Room Data].[Patient Admission Date.1 (Month Index)].[All]" allUniqueName="[Hospital Emergency Room Data].[Patient Admission Date.1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Date]" caption="__XL_Count Calendar_Date" measure="1" displayFolder="" measureGroup="Calendar_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Date.1]" caption="Count of Patient Admission Date.1"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51497817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653C58-6C28-44B5-9AEB-D8186B0540AA}" name="PivotTable3" cacheId="132" applyNumberFormats="0" applyBorderFormats="0" applyFontFormats="0" applyPatternFormats="0" applyAlignmentFormats="0" applyWidthHeightFormats="1" dataCaption="Values" tag="5a4a7c27-1deb-4437-981c-42117e661f21" updatedVersion="8" minRefreshableVersion="3" subtotalHiddenItems="1" itemPrintTitles="1" createdVersion="5" indent="0" outline="1" outlineData="1" multipleFieldFilters="0">
  <location ref="B13:B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8">
      <pivotArea outline="0" collapsedLevelsAreSubtotals="1" fieldPosition="0"/>
    </format>
  </formats>
  <pivotHierarchies count="38">
    <pivotHierarchy dragToData="1"/>
    <pivotHierarchy multipleItemSelectionAllowed="1" dragToData="1">
      <members count="1" level="1">
        <member name="[Calendar_Date].[Date (Month)].&amp;[Jan]"/>
      </members>
    </pivotHierarchy>
    <pivotHierarchy dragToData="1"/>
    <pivotHierarchy multipleItemSelectionAllowed="1" dragToData="1">
      <members count="1" level="1">
        <member name="[Calendar_Dat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D9E09B-2A1F-408F-8556-EA5F1872A014}" name="PivotTable2" cacheId="129" applyNumberFormats="0" applyBorderFormats="0" applyFontFormats="0" applyPatternFormats="0" applyAlignmentFormats="0" applyWidthHeightFormats="1" dataCaption="Values" tag="50124e08-76c9-4ca1-ae03-1d6d261a27a8" updatedVersion="8" minRefreshableVersion="3" subtotalHiddenItems="1" itemPrintTitles="1" createdVersion="5" indent="0" outline="1" outlineData="1" multipleFieldFilters="0">
  <location ref="B5:B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8">
    <pivotHierarchy dragToData="1"/>
    <pivotHierarchy multipleItemSelectionAllowed="1" dragToData="1">
      <members count="1" level="1">
        <member name="[Calendar_Date].[Date (Month)].&amp;[Jan]"/>
      </members>
    </pivotHierarchy>
    <pivotHierarchy dragToData="1"/>
    <pivotHierarchy multipleItemSelectionAllowed="1" dragToData="1">
      <members count="1" level="1">
        <member name="[Calendar_Dat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C0F99E-3D74-4D54-9389-3E040182898B}" name="PivotTable9" cacheId="147" applyNumberFormats="0" applyBorderFormats="0" applyFontFormats="0" applyPatternFormats="0" applyAlignmentFormats="0" applyWidthHeightFormats="1" dataCaption="Values" tag="10f2bca2-918a-4fec-adba-933a0c67f72f" updatedVersion="8" minRefreshableVersion="3" subtotalHiddenItems="1" itemPrintTitles="1" createdVersion="5" indent="0" outline="1" outlineData="1" multipleFieldFilters="0" chartFormat="17">
  <location ref="B81:C8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dxfId="3">
      <pivotArea outline="0" collapsedLevelsAreSubtotals="1" fieldPosition="0"/>
    </format>
  </formats>
  <chartFormats count="3">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1" count="1" selected="0">
            <x v="0"/>
          </reference>
        </references>
      </pivotArea>
    </chartFormat>
    <chartFormat chart="14" format="6">
      <pivotArea type="data" outline="0" fieldPosition="0">
        <references count="2">
          <reference field="4294967294" count="1" selected="0">
            <x v="0"/>
          </reference>
          <reference field="1" count="1" selected="0">
            <x v="1"/>
          </reference>
        </references>
      </pivotArea>
    </chartFormat>
  </chartFormats>
  <pivotHierarchies count="38">
    <pivotHierarchy dragToData="1"/>
    <pivotHierarchy multipleItemSelectionAllowed="1" dragToData="1">
      <members count="1" level="1">
        <member name="[Calendar_Date].[Date (Month)].&amp;[Jan]"/>
      </members>
    </pivotHierarchy>
    <pivotHierarchy dragToData="1"/>
    <pivotHierarchy multipleItemSelectionAllowed="1" dragToData="1">
      <members count="1" level="1">
        <member name="[Calendar_Dat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D40759B-2FA2-4443-9895-0D82233C12A0}" name="PivotTable7" cacheId="141" applyNumberFormats="0" applyBorderFormats="0" applyFontFormats="0" applyPatternFormats="0" applyAlignmentFormats="0" applyWidthHeightFormats="1" dataCaption="Values" tag="10f2bca2-918a-4fec-adba-933a0c67f72f" updatedVersion="8" minRefreshableVersion="3" subtotalHiddenItems="1" itemPrintTitles="1" createdVersion="5" indent="0" outline="1" outlineData="1" multipleFieldFilters="0" chartFormat="8">
  <location ref="B51:D54"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numFmtId="1"/>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5">
      <pivotArea outline="0" collapsedLevelsAreSubtotals="1" fieldPosition="0"/>
    </format>
    <format dxfId="6">
      <pivotArea outline="0" fieldPosition="0">
        <references count="1">
          <reference field="4294967294" count="1">
            <x v="1"/>
          </reference>
        </references>
      </pivotArea>
    </format>
  </format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pivotArea type="data" outline="0" fieldPosition="0">
        <references count="2">
          <reference field="4294967294" count="1" selected="0">
            <x v="0"/>
          </reference>
          <reference field="2" count="1" selected="0">
            <x v="0"/>
          </reference>
        </references>
      </pivotArea>
    </chartFormat>
    <chartFormat chart="3" format="3">
      <pivotArea type="data" outline="0" fieldPosition="0">
        <references count="2">
          <reference field="4294967294" count="1" selected="0">
            <x v="0"/>
          </reference>
          <reference field="2" count="1" selected="0">
            <x v="1"/>
          </reference>
        </references>
      </pivotArea>
    </chartFormat>
    <chartFormat chart="3" format="4">
      <pivotArea type="data" outline="0" fieldPosition="0">
        <references count="2">
          <reference field="4294967294" count="1" selected="0">
            <x v="1"/>
          </reference>
          <reference field="2" count="1" selected="0">
            <x v="1"/>
          </reference>
        </references>
      </pivotArea>
    </chartFormat>
    <chartFormat chart="3" format="5">
      <pivotArea type="data" outline="0" fieldPosition="0">
        <references count="2">
          <reference field="4294967294" count="1" selected="0">
            <x v="1"/>
          </reference>
          <reference field="2" count="1" selected="0">
            <x v="0"/>
          </reference>
        </references>
      </pivotArea>
    </chartFormat>
  </chartFormats>
  <pivotHierarchies count="39">
    <pivotHierarchy dragToData="1"/>
    <pivotHierarchy multipleItemSelectionAllowed="1" dragToData="1">
      <members count="1" level="1">
        <member name="[Calendar_Date].[Date (Month)].&amp;[Jan]"/>
      </members>
    </pivotHierarchy>
    <pivotHierarchy dragToData="1"/>
    <pivotHierarchy multipleItemSelectionAllowed="1" dragToData="1">
      <members count="1" level="1">
        <member name="[Calendar_Dat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ED5A7E7-B03F-435B-96D3-44491D11728C}" name="PivotTable8" cacheId="144" applyNumberFormats="0" applyBorderFormats="0" applyFontFormats="0" applyPatternFormats="0" applyAlignmentFormats="0" applyWidthHeightFormats="1" dataCaption="Values" tag="10f2bca2-918a-4fec-adba-933a0c67f72f" updatedVersion="8" minRefreshableVersion="3" subtotalHiddenItems="1" itemPrintTitles="1" createdVersion="5" indent="0" outline="1" outlineData="1" multipleFieldFilters="0" chartFormat="12">
  <location ref="B68:C77"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Age Group" fld="1" subtotal="count" baseField="0" baseItem="0"/>
  </dataFields>
  <formats count="1">
    <format dxfId="4">
      <pivotArea outline="0" collapsedLevelsAreSubtotals="1" fieldPosition="0"/>
    </format>
  </formats>
  <chartFormats count="1">
    <chartFormat chart="8" format="2"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Calendar_Date].[Date (Month)].&amp;[Jan]"/>
      </members>
    </pivotHierarchy>
    <pivotHierarchy dragToData="1"/>
    <pivotHierarchy multipleItemSelectionAllowed="1" dragToData="1">
      <members count="1" level="1">
        <member name="[Calendar_Dat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756D7D6-F18B-4560-81F5-B4425A051D90}" name="PivotTable6" cacheId="138" applyNumberFormats="0" applyBorderFormats="0" applyFontFormats="0" applyPatternFormats="0" applyAlignmentFormats="0" applyWidthHeightFormats="1" dataCaption="Values" tag="893f0927-fbab-4a86-8240-fbe8711e8fd0" updatedVersion="8" minRefreshableVersion="3" subtotalHiddenItems="1" itemPrintTitles="1" createdVersion="5" indent="0" outline="1" outlineData="1" multipleFieldFilters="0" chartFormat="34">
  <location ref="H37:I47" firstHeaderRow="1" firstDataRow="1" firstDataCol="1"/>
  <pivotFields count="4">
    <pivotField axis="axisRow" allDrilled="1" subtotalTop="0" showAll="0" dataSourceSort="1" defaultSubtotal="0" defaultAttributeDrillState="1">
      <items count="9">
        <item x="0"/>
        <item x="1"/>
        <item x="2"/>
        <item x="3"/>
        <item x="4"/>
        <item x="5"/>
        <item x="6"/>
        <item x="7"/>
        <item x="8"/>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Average of Patient Satisfaction Score" fld="2" subtotal="average" baseField="0" baseItem="0" numFmtId="2"/>
  </dataFields>
  <formats count="1">
    <format dxfId="7">
      <pivotArea outline="0" collapsedLevelsAreSubtotals="1" fieldPosition="0"/>
    </format>
  </formats>
  <chartFormats count="3">
    <chartFormat chart="25"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30" format="4"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Calendar_Date].[Date (Month)].&amp;[Jan]"/>
      </members>
    </pivotHierarchy>
    <pivotHierarchy dragToData="1"/>
    <pivotHierarchy multipleItemSelectionAllowed="1" dragToData="1">
      <members count="1" level="1">
        <member name="[Calendar_Dat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88FDC7A-831B-4870-ACC7-915986B4C881}" name="PivotTable5" cacheId="135" applyNumberFormats="0" applyBorderFormats="0" applyFontFormats="0" applyPatternFormats="0" applyAlignmentFormats="0" applyWidthHeightFormats="1" dataCaption="Values" tag="0e211978-1dfa-4de0-a2ba-6de33e2171b4" updatedVersion="8" minRefreshableVersion="3" subtotalHiddenItems="1" itemPrintTitles="1" createdVersion="5" indent="0" outline="1" outlineData="1" multipleFieldFilters="0" chartFormat="25">
  <location ref="B17:C27" firstHeaderRow="1" firstDataRow="1" firstDataCol="1"/>
  <pivotFields count="4">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0">
    <i>
      <x/>
    </i>
    <i>
      <x v="1"/>
    </i>
    <i>
      <x v="2"/>
    </i>
    <i>
      <x v="3"/>
    </i>
    <i>
      <x v="4"/>
    </i>
    <i>
      <x v="5"/>
    </i>
    <i>
      <x v="6"/>
    </i>
    <i>
      <x v="7"/>
    </i>
    <i>
      <x v="8"/>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5">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Calendar_Date].[Date (Month)].&amp;[Jan]"/>
      </members>
    </pivotHierarchy>
    <pivotHierarchy dragToData="1"/>
    <pivotHierarchy multipleItemSelectionAllowed="1" dragToData="1">
      <members count="1" level="1">
        <member name="[Calendar_Dat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F2D0890-5568-4E47-A6CD-87821F6106E1}" name="PivotTable12" cacheId="156" applyNumberFormats="0" applyBorderFormats="0" applyFontFormats="0" applyPatternFormats="0" applyAlignmentFormats="0" applyWidthHeightFormats="1" dataCaption="Values" tag="10f2bca2-918a-4fec-adba-933a0c67f72f" updatedVersion="8" minRefreshableVersion="3" subtotalHiddenItems="1" itemPrintTitles="1" createdVersion="5" indent="0" outline="1" outlineData="1" multipleFieldFilters="0" chartFormat="24">
  <location ref="I90:I92" firstHeaderRow="1" firstDataRow="1" firstDataCol="1"/>
  <pivotFields count="4">
    <pivotField axis="axisRow" allDrilled="1" subtotalTop="0" showAll="0" dataSourceSort="1" defaultSubtotal="0">
      <items count="1">
        <item s="1" x="0" e="0"/>
      </items>
    </pivotField>
    <pivotField axis="axisRow" allDrilled="1" subtotalTop="0" showAll="0" dataSourceSort="1" defaultSubtotal="0" defaultAttributeDrillState="1">
      <items count="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0">
      <pivotArea outline="0" collapsedLevelsAreSubtotals="1" fieldPosition="0"/>
    </format>
  </formats>
  <pivotHierarchies count="38">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2069A65-716B-4278-9226-A4C4536A6757}" name="PivotTable11" cacheId="153" applyNumberFormats="0" applyBorderFormats="0" applyFontFormats="0" applyPatternFormats="0" applyAlignmentFormats="0" applyWidthHeightFormats="1" dataCaption="Values" tag="10f2bca2-918a-4fec-adba-933a0c67f72f" updatedVersion="8" minRefreshableVersion="3" subtotalHiddenItems="1" itemPrintTitles="1" createdVersion="5" indent="0" outline="1" outlineData="1" multipleFieldFilters="0" chartFormat="24">
  <location ref="E91:F100"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3"/>
    </i>
    <i>
      <x v="1"/>
    </i>
    <i>
      <x v="6"/>
    </i>
    <i>
      <x/>
    </i>
    <i>
      <x v="5"/>
    </i>
    <i>
      <x v="2"/>
    </i>
    <i>
      <x v="4"/>
    </i>
    <i t="grand">
      <x/>
    </i>
  </rowItems>
  <colItems count="1">
    <i/>
  </colItems>
  <dataFields count="1">
    <dataField name="Count of Department Referral" fld="2" subtotal="count" baseField="0" baseItem="0"/>
  </dataFields>
  <formats count="1">
    <format dxfId="1">
      <pivotArea outline="0" collapsedLevelsAreSubtotals="1" fieldPosition="0"/>
    </format>
  </formats>
  <chartFormats count="1">
    <chartFormat chart="23" format="2"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Calendar_Date].[Date (Month)].&amp;[Jan]"/>
      </members>
    </pivotHierarchy>
    <pivotHierarchy dragToData="1"/>
    <pivotHierarchy multipleItemSelectionAllowed="1" dragToData="1">
      <members count="1" level="1">
        <member name="[Calendar_Dat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B0BECB4-0AA5-4392-BB42-B0B010B990D5}" name="PivotTable1" cacheId="126" applyNumberFormats="0" applyBorderFormats="0" applyFontFormats="0" applyPatternFormats="0" applyAlignmentFormats="0" applyWidthHeightFormats="1" dataCaption="Values" tag="e55e67c8-c7d3-4ffb-8722-34ab8cc714d3" updatedVersion="8" minRefreshableVersion="3" subtotalHiddenItems="1" itemPrintTitles="1" createdVersion="5" indent="0" outline="1" outlineData="1" multipleFieldFilters="0">
  <location ref="B9:B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9">
      <pivotArea outline="0" collapsedLevelsAreSubtotals="1" fieldPosition="0"/>
    </format>
  </formats>
  <pivotHierarchies count="38">
    <pivotHierarchy dragToData="1"/>
    <pivotHierarchy multipleItemSelectionAllowed="1" dragToData="1">
      <members count="1" level="1">
        <member name="[Calendar_Date].[Date (Month)].&amp;[Jan]"/>
      </members>
    </pivotHierarchy>
    <pivotHierarchy dragToData="1"/>
    <pivotHierarchy multipleItemSelectionAllowed="1" dragToData="1">
      <members count="1" level="1">
        <member name="[Calendar_Dat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1081D1C-11DA-4163-823F-DC188AE6E107}" name="PivotTable4" cacheId="123" applyNumberFormats="0" applyBorderFormats="0" applyFontFormats="0" applyPatternFormats="0" applyAlignmentFormats="0" applyWidthHeightFormats="1" dataCaption="Values" tag="e29751c9-f23c-43f9-9afb-86339f59ab37" updatedVersion="8" minRefreshableVersion="3" subtotalHiddenItems="1" itemPrintTitles="1" createdVersion="5" indent="0" outline="1" outlineData="1" multipleFieldFilters="0" chartFormat="34">
  <location ref="E2:F12" firstHeaderRow="1" firstDataRow="1" firstDataCol="1"/>
  <pivotFields count="4">
    <pivotField axis="axisRow" allDrilled="1" subtotalTop="0" showAll="0" dataSourceSort="1" defaultSubtotal="0" defaultAttributeDrillState="1">
      <items count="9">
        <item x="0"/>
        <item x="1"/>
        <item x="2"/>
        <item x="3"/>
        <item x="4"/>
        <item x="5"/>
        <item x="6"/>
        <item x="7"/>
        <item x="8"/>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Average of Patient Waittime" fld="2" subtotal="average" baseField="0" baseItem="0" numFmtId="2"/>
  </dataFields>
  <formats count="1">
    <format dxfId="10">
      <pivotArea outline="0" collapsedLevelsAreSubtotals="1" fieldPosition="0"/>
    </format>
  </formats>
  <chartFormats count="6">
    <chartFormat chart="17" format="3"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Calendar_Date].[Date (Month)].&amp;[Jan]"/>
      </members>
    </pivotHierarchy>
    <pivotHierarchy dragToData="1"/>
    <pivotHierarchy multipleItemSelectionAllowed="1" dragToData="1">
      <members count="1" level="1">
        <member name="[Calendar_Dat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67E7E25-AB13-4069-8FF0-1366DF4D813D}" name="PivotTable10" cacheId="150" applyNumberFormats="0" applyBorderFormats="0" applyFontFormats="0" applyPatternFormats="0" applyAlignmentFormats="0" applyWidthHeightFormats="1" dataCaption="Values" tag="10f2bca2-918a-4fec-adba-933a0c67f72f" updatedVersion="8" minRefreshableVersion="3" subtotalHiddenItems="1" itemPrintTitles="1" createdVersion="5" indent="0" outline="1" outlineData="1" multipleFieldFilters="0" chartFormat="21">
  <location ref="B87:C9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2">
      <pivotArea outline="0" collapsedLevelsAreSubtotals="1" fieldPosition="0"/>
    </format>
  </formats>
  <chartFormats count="3">
    <chartFormat chart="20" format="4" series="1">
      <pivotArea type="data" outline="0" fieldPosition="0">
        <references count="1">
          <reference field="4294967294" count="1" selected="0">
            <x v="0"/>
          </reference>
        </references>
      </pivotArea>
    </chartFormat>
    <chartFormat chart="20" format="5">
      <pivotArea type="data" outline="0" fieldPosition="0">
        <references count="2">
          <reference field="4294967294" count="1" selected="0">
            <x v="0"/>
          </reference>
          <reference field="1" count="1" selected="0">
            <x v="0"/>
          </reference>
        </references>
      </pivotArea>
    </chartFormat>
    <chartFormat chart="20" format="6">
      <pivotArea type="data" outline="0" fieldPosition="0">
        <references count="2">
          <reference field="4294967294" count="1" selected="0">
            <x v="0"/>
          </reference>
          <reference field="1" count="1" selected="0">
            <x v="1"/>
          </reference>
        </references>
      </pivotArea>
    </chartFormat>
  </chartFormats>
  <pivotHierarchies count="38">
    <pivotHierarchy dragToData="1"/>
    <pivotHierarchy multipleItemSelectionAllowed="1" dragToData="1">
      <members count="1" level="1">
        <member name="[Calendar_Date].[Date (Month)].&amp;[Jan]"/>
      </members>
    </pivotHierarchy>
    <pivotHierarchy dragToData="1"/>
    <pivotHierarchy multipleItemSelectionAllowed="1" dragToData="1">
      <members count="1" level="1">
        <member name="[Calendar_Dat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Dat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5CAD89B6-407D-456D-B856-E33C878DCAB2}" sourceName="[Calendar_Date].[Date (Month)]">
  <pivotTables>
    <pivotTable tabId="2" name="PivotTable4"/>
    <pivotTable tabId="2" name="PivotTable1"/>
    <pivotTable tabId="2" name="PivotTable2"/>
    <pivotTable tabId="2" name="PivotTable3"/>
    <pivotTable tabId="2" name="PivotTable5"/>
    <pivotTable tabId="2" name="PivotTable6"/>
    <pivotTable tabId="2" name="PivotTable7"/>
    <pivotTable tabId="2" name="PivotTable8"/>
    <pivotTable tabId="2" name="PivotTable9"/>
    <pivotTable tabId="2" name="PivotTable10"/>
    <pivotTable tabId="2" name="PivotTable11"/>
    <pivotTable tabId="2" name="PivotTable12"/>
  </pivotTables>
  <data>
    <olap pivotCacheId="514978175">
      <levels count="2">
        <level uniqueName="[Calendar_Date].[Date (Month)].[(All)]" sourceCaption="(All)" count="0"/>
        <level uniqueName="[Calendar_Date].[Date (Month)].[Date (Month)]" sourceCaption="Date (Month)" count="12">
          <ranges>
            <range startItem="0">
              <i n="[Calendar_Date].[Date (Month)].&amp;[Jan]" c="Jan"/>
              <i n="[Calendar_Date].[Date (Month)].&amp;[Feb]" c="Feb"/>
              <i n="[Calendar_Date].[Date (Month)].&amp;[Mar]" c="Mar"/>
              <i n="[Calendar_Date].[Date (Month)].&amp;[Apr]" c="Apr"/>
              <i n="[Calendar_Date].[Date (Month)].&amp;[May]" c="May"/>
              <i n="[Calendar_Date].[Date (Month)].&amp;[Jun]" c="Jun"/>
              <i n="[Calendar_Date].[Date (Month)].&amp;[Jul]" c="Jul"/>
              <i n="[Calendar_Date].[Date (Month)].&amp;[Aug]" c="Aug"/>
              <i n="[Calendar_Date].[Date (Month)].&amp;[Sep]" c="Sep"/>
              <i n="[Calendar_Date].[Date (Month)].&amp;[Oct]" c="Oct"/>
              <i n="[Calendar_Date].[Date (Month)].&amp;[Nov]" c="Nov"/>
              <i n="[Calendar_Date].[Date (Month)].&amp;[Dec]" c="Dec"/>
            </range>
          </ranges>
        </level>
      </levels>
      <selections count="1">
        <selection n="[Calendar_Dat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53309FDB-32E1-4476-B80F-11C4C0C12A2E}" sourceName="[Calendar_Date].[Date (Year)]">
  <pivotTables>
    <pivotTable tabId="2" name="PivotTable12"/>
    <pivotTable tabId="2" name="PivotTable1"/>
    <pivotTable tabId="2" name="PivotTable10"/>
    <pivotTable tabId="2" name="PivotTable1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olap pivotCacheId="514978175">
      <levels count="2">
        <level uniqueName="[Calendar_Date].[Date (Year)].[(All)]" sourceCaption="(All)" count="0"/>
        <level uniqueName="[Calendar_Date].[Date (Year)].[Date (Year)]" sourceCaption="Date (Year)" count="2">
          <ranges>
            <range startItem="0">
              <i n="[Calendar_Date].[Date (Year)].&amp;[2023]" c="2023"/>
              <i n="[Calendar_Date].[Date (Year)].&amp;[2024]" c="2024"/>
            </range>
          </ranges>
        </level>
      </levels>
      <selections count="1">
        <selection n="[Calendar_Dat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A85EDEC4-C31D-437F-AE0B-BE37AD03EA8D}" cache="Slicer_Date__Month" caption="Date (Month)" showCaption="0" level="1" style="My  2" rowHeight="274320"/>
  <slicer name="Date (Year)" xr10:uid="{0E9CD42C-1113-403D-BED0-1EC01C98CF34}" cache="Slicer_Date__Year" caption="Date (Year)" columnCount="2" showCaption="0" level="1" style="My  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8882A-0EB1-4CFB-BDA0-8E951501E7C2}">
  <dimension ref="B1:I100"/>
  <sheetViews>
    <sheetView topLeftCell="A44" zoomScale="81" zoomScaleNormal="81" workbookViewId="0">
      <selection activeCell="F57" sqref="F57"/>
    </sheetView>
  </sheetViews>
  <sheetFormatPr defaultRowHeight="14.5" x14ac:dyDescent="0.35"/>
  <cols>
    <col min="2" max="2" width="15.36328125" customWidth="1"/>
    <col min="3" max="3" width="15.08984375" customWidth="1"/>
    <col min="4" max="4" width="10.36328125" customWidth="1"/>
    <col min="5" max="5" width="14.90625" customWidth="1"/>
    <col min="6" max="6" width="32.7265625" bestFit="1" customWidth="1"/>
    <col min="8" max="8" width="15.81640625" bestFit="1" customWidth="1"/>
    <col min="9" max="9" width="32.7265625" bestFit="1" customWidth="1"/>
  </cols>
  <sheetData>
    <row r="1" spans="2:6" x14ac:dyDescent="0.35">
      <c r="E1" t="s">
        <v>6</v>
      </c>
    </row>
    <row r="2" spans="2:6" x14ac:dyDescent="0.35">
      <c r="E2" s="1" t="s">
        <v>0</v>
      </c>
      <c r="F2" t="s">
        <v>3</v>
      </c>
    </row>
    <row r="3" spans="2:6" x14ac:dyDescent="0.35">
      <c r="E3" s="2" t="s">
        <v>44</v>
      </c>
      <c r="F3" s="3">
        <v>40.473684210526315</v>
      </c>
    </row>
    <row r="4" spans="2:6" x14ac:dyDescent="0.35">
      <c r="E4" s="2" t="s">
        <v>45</v>
      </c>
      <c r="F4" s="3">
        <v>31.5</v>
      </c>
    </row>
    <row r="5" spans="2:6" x14ac:dyDescent="0.35">
      <c r="B5" t="s">
        <v>2</v>
      </c>
      <c r="E5" s="2" t="s">
        <v>46</v>
      </c>
      <c r="F5" s="3">
        <v>34.884615384615387</v>
      </c>
    </row>
    <row r="6" spans="2:6" x14ac:dyDescent="0.35">
      <c r="B6" s="12">
        <v>154</v>
      </c>
      <c r="E6" s="2" t="s">
        <v>47</v>
      </c>
      <c r="F6" s="3">
        <v>38.200000000000003</v>
      </c>
    </row>
    <row r="7" spans="2:6" x14ac:dyDescent="0.35">
      <c r="E7" s="2" t="s">
        <v>48</v>
      </c>
      <c r="F7" s="3">
        <v>35.714285714285715</v>
      </c>
    </row>
    <row r="8" spans="2:6" x14ac:dyDescent="0.35">
      <c r="E8" s="2" t="s">
        <v>49</v>
      </c>
      <c r="F8" s="3">
        <v>29.833333333333332</v>
      </c>
    </row>
    <row r="9" spans="2:6" x14ac:dyDescent="0.35">
      <c r="B9" t="s">
        <v>3</v>
      </c>
      <c r="E9" s="2" t="s">
        <v>50</v>
      </c>
      <c r="F9" s="3">
        <v>36.4</v>
      </c>
    </row>
    <row r="10" spans="2:6" x14ac:dyDescent="0.35">
      <c r="B10" s="3">
        <v>35.272727272727273</v>
      </c>
      <c r="E10" s="2" t="s">
        <v>51</v>
      </c>
      <c r="F10" s="3">
        <v>35.117647058823529</v>
      </c>
    </row>
    <row r="11" spans="2:6" x14ac:dyDescent="0.35">
      <c r="E11" s="2" t="s">
        <v>52</v>
      </c>
      <c r="F11" s="3">
        <v>34.5</v>
      </c>
    </row>
    <row r="12" spans="2:6" x14ac:dyDescent="0.35">
      <c r="E12" s="2" t="s">
        <v>1</v>
      </c>
      <c r="F12" s="3">
        <v>35.272727272727273</v>
      </c>
    </row>
    <row r="13" spans="2:6" x14ac:dyDescent="0.35">
      <c r="B13" t="s">
        <v>4</v>
      </c>
    </row>
    <row r="14" spans="2:6" x14ac:dyDescent="0.35">
      <c r="B14" s="3">
        <v>4.8</v>
      </c>
    </row>
    <row r="16" spans="2:6" x14ac:dyDescent="0.35">
      <c r="B16" t="s">
        <v>5</v>
      </c>
    </row>
    <row r="17" spans="2:3" x14ac:dyDescent="0.35">
      <c r="B17" s="1" t="s">
        <v>0</v>
      </c>
      <c r="C17" t="s">
        <v>2</v>
      </c>
    </row>
    <row r="18" spans="2:3" x14ac:dyDescent="0.35">
      <c r="B18" s="2" t="s">
        <v>44</v>
      </c>
      <c r="C18" s="12">
        <v>19</v>
      </c>
    </row>
    <row r="19" spans="2:3" x14ac:dyDescent="0.35">
      <c r="B19" s="2" t="s">
        <v>45</v>
      </c>
      <c r="C19" s="12">
        <v>20</v>
      </c>
    </row>
    <row r="20" spans="2:3" x14ac:dyDescent="0.35">
      <c r="B20" s="2" t="s">
        <v>46</v>
      </c>
      <c r="C20" s="12">
        <v>26</v>
      </c>
    </row>
    <row r="21" spans="2:3" x14ac:dyDescent="0.35">
      <c r="B21" s="2" t="s">
        <v>47</v>
      </c>
      <c r="C21" s="12">
        <v>15</v>
      </c>
    </row>
    <row r="22" spans="2:3" x14ac:dyDescent="0.35">
      <c r="B22" s="2" t="s">
        <v>48</v>
      </c>
      <c r="C22" s="12">
        <v>14</v>
      </c>
    </row>
    <row r="23" spans="2:3" x14ac:dyDescent="0.35">
      <c r="B23" s="2" t="s">
        <v>49</v>
      </c>
      <c r="C23" s="12">
        <v>12</v>
      </c>
    </row>
    <row r="24" spans="2:3" x14ac:dyDescent="0.35">
      <c r="B24" s="2" t="s">
        <v>50</v>
      </c>
      <c r="C24" s="12">
        <v>15</v>
      </c>
    </row>
    <row r="25" spans="2:3" x14ac:dyDescent="0.35">
      <c r="B25" s="2" t="s">
        <v>51</v>
      </c>
      <c r="C25" s="12">
        <v>17</v>
      </c>
    </row>
    <row r="26" spans="2:3" x14ac:dyDescent="0.35">
      <c r="B26" s="2" t="s">
        <v>52</v>
      </c>
      <c r="C26" s="12">
        <v>16</v>
      </c>
    </row>
    <row r="27" spans="2:3" x14ac:dyDescent="0.35">
      <c r="B27" s="2" t="s">
        <v>1</v>
      </c>
      <c r="C27" s="12">
        <v>154</v>
      </c>
    </row>
    <row r="36" spans="8:9" x14ac:dyDescent="0.35">
      <c r="H36" s="2" t="s">
        <v>7</v>
      </c>
    </row>
    <row r="37" spans="8:9" x14ac:dyDescent="0.35">
      <c r="H37" s="1" t="s">
        <v>0</v>
      </c>
      <c r="I37" t="s">
        <v>4</v>
      </c>
    </row>
    <row r="38" spans="8:9" x14ac:dyDescent="0.35">
      <c r="H38" s="2" t="s">
        <v>44</v>
      </c>
      <c r="I38" s="3">
        <v>3.8</v>
      </c>
    </row>
    <row r="39" spans="8:9" x14ac:dyDescent="0.35">
      <c r="H39" s="2" t="s">
        <v>45</v>
      </c>
      <c r="I39" s="3">
        <v>5.5</v>
      </c>
    </row>
    <row r="40" spans="8:9" x14ac:dyDescent="0.35">
      <c r="H40" s="2" t="s">
        <v>46</v>
      </c>
      <c r="I40" s="3">
        <v>4.8</v>
      </c>
    </row>
    <row r="41" spans="8:9" x14ac:dyDescent="0.35">
      <c r="H41" s="2" t="s">
        <v>47</v>
      </c>
      <c r="I41" s="3">
        <v>2</v>
      </c>
    </row>
    <row r="42" spans="8:9" x14ac:dyDescent="0.35">
      <c r="H42" s="2" t="s">
        <v>48</v>
      </c>
      <c r="I42" s="3">
        <v>8</v>
      </c>
    </row>
    <row r="43" spans="8:9" x14ac:dyDescent="0.35">
      <c r="H43" s="2" t="s">
        <v>49</v>
      </c>
      <c r="I43" s="3">
        <v>3.5</v>
      </c>
    </row>
    <row r="44" spans="8:9" x14ac:dyDescent="0.35">
      <c r="H44" s="2" t="s">
        <v>50</v>
      </c>
      <c r="I44" s="3">
        <v>4.8</v>
      </c>
    </row>
    <row r="45" spans="8:9" x14ac:dyDescent="0.35">
      <c r="H45" s="2" t="s">
        <v>51</v>
      </c>
      <c r="I45" s="3">
        <v>4.666666666666667</v>
      </c>
    </row>
    <row r="46" spans="8:9" x14ac:dyDescent="0.35">
      <c r="H46" s="2" t="s">
        <v>52</v>
      </c>
      <c r="I46" s="3">
        <v>9</v>
      </c>
    </row>
    <row r="47" spans="8:9" x14ac:dyDescent="0.35">
      <c r="H47" s="2" t="s">
        <v>1</v>
      </c>
      <c r="I47" s="3">
        <v>4.8</v>
      </c>
    </row>
    <row r="51" spans="2:5" x14ac:dyDescent="0.35">
      <c r="B51" s="1" t="s">
        <v>0</v>
      </c>
      <c r="C51" t="s">
        <v>8</v>
      </c>
      <c r="D51" t="s">
        <v>11</v>
      </c>
    </row>
    <row r="52" spans="2:5" x14ac:dyDescent="0.35">
      <c r="B52" s="2" t="s">
        <v>9</v>
      </c>
      <c r="C52" s="5">
        <v>82</v>
      </c>
      <c r="D52" s="6">
        <v>0.53246753246753242</v>
      </c>
    </row>
    <row r="53" spans="2:5" x14ac:dyDescent="0.35">
      <c r="B53" s="2" t="s">
        <v>10</v>
      </c>
      <c r="C53" s="5">
        <v>72</v>
      </c>
      <c r="D53" s="6">
        <v>0.46753246753246752</v>
      </c>
    </row>
    <row r="54" spans="2:5" x14ac:dyDescent="0.35">
      <c r="B54" s="2" t="s">
        <v>1</v>
      </c>
      <c r="C54" s="5">
        <v>154</v>
      </c>
      <c r="D54" s="6">
        <v>1</v>
      </c>
    </row>
    <row r="58" spans="2:5" x14ac:dyDescent="0.35">
      <c r="B58" s="10" t="s">
        <v>12</v>
      </c>
      <c r="C58" s="10" t="s">
        <v>13</v>
      </c>
      <c r="D58" s="10" t="s">
        <v>14</v>
      </c>
      <c r="E58" s="7"/>
    </row>
    <row r="59" spans="2:5" x14ac:dyDescent="0.35">
      <c r="B59" s="7" t="str">
        <f>B53</f>
        <v>Not Admitted</v>
      </c>
      <c r="C59" s="8">
        <f>C53</f>
        <v>72</v>
      </c>
      <c r="D59" s="9">
        <f>D53</f>
        <v>0.46753246753246752</v>
      </c>
      <c r="E59" s="7"/>
    </row>
    <row r="60" spans="2:5" x14ac:dyDescent="0.35">
      <c r="B60" s="7" t="str">
        <f>B52</f>
        <v>Admitted</v>
      </c>
      <c r="C60" s="8">
        <f>C52</f>
        <v>82</v>
      </c>
      <c r="D60" s="9">
        <f>D52</f>
        <v>0.53246753246753242</v>
      </c>
      <c r="E60" s="7"/>
    </row>
    <row r="67" spans="2:3" x14ac:dyDescent="0.35">
      <c r="B67" t="s">
        <v>24</v>
      </c>
    </row>
    <row r="68" spans="2:3" x14ac:dyDescent="0.35">
      <c r="B68" s="1" t="s">
        <v>0</v>
      </c>
      <c r="C68" t="s">
        <v>15</v>
      </c>
    </row>
    <row r="69" spans="2:3" x14ac:dyDescent="0.35">
      <c r="B69" s="2" t="s">
        <v>16</v>
      </c>
      <c r="C69" s="5">
        <v>17</v>
      </c>
    </row>
    <row r="70" spans="2:3" x14ac:dyDescent="0.35">
      <c r="B70" s="2" t="s">
        <v>17</v>
      </c>
      <c r="C70" s="5">
        <v>15</v>
      </c>
    </row>
    <row r="71" spans="2:3" x14ac:dyDescent="0.35">
      <c r="B71" s="2" t="s">
        <v>18</v>
      </c>
      <c r="C71" s="5">
        <v>24</v>
      </c>
    </row>
    <row r="72" spans="2:3" x14ac:dyDescent="0.35">
      <c r="B72" s="2" t="s">
        <v>19</v>
      </c>
      <c r="C72" s="5">
        <v>23</v>
      </c>
    </row>
    <row r="73" spans="2:3" x14ac:dyDescent="0.35">
      <c r="B73" s="2" t="s">
        <v>20</v>
      </c>
      <c r="C73" s="5">
        <v>14</v>
      </c>
    </row>
    <row r="74" spans="2:3" x14ac:dyDescent="0.35">
      <c r="B74" s="2" t="s">
        <v>21</v>
      </c>
      <c r="C74" s="5">
        <v>22</v>
      </c>
    </row>
    <row r="75" spans="2:3" x14ac:dyDescent="0.35">
      <c r="B75" s="2" t="s">
        <v>22</v>
      </c>
      <c r="C75" s="5">
        <v>20</v>
      </c>
    </row>
    <row r="76" spans="2:3" x14ac:dyDescent="0.35">
      <c r="B76" s="2" t="s">
        <v>23</v>
      </c>
      <c r="C76" s="5">
        <v>19</v>
      </c>
    </row>
    <row r="77" spans="2:3" x14ac:dyDescent="0.35">
      <c r="B77" s="2" t="s">
        <v>1</v>
      </c>
      <c r="C77" s="5">
        <v>154</v>
      </c>
    </row>
    <row r="80" spans="2:3" x14ac:dyDescent="0.35">
      <c r="B80" s="2" t="s">
        <v>28</v>
      </c>
    </row>
    <row r="81" spans="2:9" x14ac:dyDescent="0.35">
      <c r="B81" s="1" t="s">
        <v>0</v>
      </c>
      <c r="C81" t="s">
        <v>27</v>
      </c>
    </row>
    <row r="82" spans="2:9" x14ac:dyDescent="0.35">
      <c r="B82" s="2" t="s">
        <v>26</v>
      </c>
      <c r="C82" s="5">
        <v>94</v>
      </c>
    </row>
    <row r="83" spans="2:9" x14ac:dyDescent="0.35">
      <c r="B83" s="2" t="s">
        <v>25</v>
      </c>
      <c r="C83" s="5">
        <v>60</v>
      </c>
    </row>
    <row r="84" spans="2:9" x14ac:dyDescent="0.35">
      <c r="B84" s="2" t="s">
        <v>1</v>
      </c>
      <c r="C84" s="5">
        <v>154</v>
      </c>
    </row>
    <row r="86" spans="2:9" x14ac:dyDescent="0.35">
      <c r="B86" s="2" t="s">
        <v>32</v>
      </c>
    </row>
    <row r="87" spans="2:9" x14ac:dyDescent="0.35">
      <c r="B87" s="1" t="s">
        <v>0</v>
      </c>
      <c r="C87" t="s">
        <v>31</v>
      </c>
    </row>
    <row r="88" spans="2:9" x14ac:dyDescent="0.35">
      <c r="B88" s="2" t="s">
        <v>29</v>
      </c>
      <c r="C88" s="5">
        <v>75</v>
      </c>
    </row>
    <row r="89" spans="2:9" x14ac:dyDescent="0.35">
      <c r="B89" s="2" t="s">
        <v>30</v>
      </c>
      <c r="C89" s="5">
        <v>79</v>
      </c>
    </row>
    <row r="90" spans="2:9" x14ac:dyDescent="0.35">
      <c r="B90" s="2" t="s">
        <v>1</v>
      </c>
      <c r="C90" s="5">
        <v>154</v>
      </c>
      <c r="E90" s="11" t="s">
        <v>42</v>
      </c>
      <c r="I90" s="1" t="s">
        <v>0</v>
      </c>
    </row>
    <row r="91" spans="2:9" x14ac:dyDescent="0.35">
      <c r="E91" s="1" t="s">
        <v>0</v>
      </c>
      <c r="F91" t="s">
        <v>41</v>
      </c>
      <c r="I91" s="2" t="s">
        <v>43</v>
      </c>
    </row>
    <row r="92" spans="2:9" x14ac:dyDescent="0.35">
      <c r="E92" s="2" t="s">
        <v>40</v>
      </c>
      <c r="F92" s="5">
        <v>1</v>
      </c>
      <c r="I92" s="2" t="s">
        <v>1</v>
      </c>
    </row>
    <row r="93" spans="2:9" x14ac:dyDescent="0.35">
      <c r="E93" s="2" t="s">
        <v>36</v>
      </c>
      <c r="F93" s="5">
        <v>3</v>
      </c>
    </row>
    <row r="94" spans="2:9" x14ac:dyDescent="0.35">
      <c r="E94" s="2" t="s">
        <v>34</v>
      </c>
      <c r="F94" s="5">
        <v>4</v>
      </c>
    </row>
    <row r="95" spans="2:9" x14ac:dyDescent="0.35">
      <c r="E95" s="2" t="s">
        <v>39</v>
      </c>
      <c r="F95" s="5">
        <v>4</v>
      </c>
    </row>
    <row r="96" spans="2:9" x14ac:dyDescent="0.35">
      <c r="E96" s="2" t="s">
        <v>33</v>
      </c>
      <c r="F96" s="5">
        <v>7</v>
      </c>
    </row>
    <row r="97" spans="5:6" x14ac:dyDescent="0.35">
      <c r="E97" s="2" t="s">
        <v>38</v>
      </c>
      <c r="F97" s="5">
        <v>11</v>
      </c>
    </row>
    <row r="98" spans="5:6" x14ac:dyDescent="0.35">
      <c r="E98" s="2" t="s">
        <v>35</v>
      </c>
      <c r="F98" s="5">
        <v>31</v>
      </c>
    </row>
    <row r="99" spans="5:6" x14ac:dyDescent="0.35">
      <c r="E99" s="2" t="s">
        <v>37</v>
      </c>
      <c r="F99" s="5">
        <v>93</v>
      </c>
    </row>
    <row r="100" spans="5:6" x14ac:dyDescent="0.35">
      <c r="E100" s="2" t="s">
        <v>1</v>
      </c>
      <c r="F100" s="5">
        <v>154</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8E603-9A08-4DE4-8937-9481CC7CED7C}">
  <dimension ref="N12"/>
  <sheetViews>
    <sheetView showGridLines="0" showRowColHeaders="0" tabSelected="1" workbookViewId="0">
      <selection activeCell="N12" sqref="N12"/>
    </sheetView>
  </sheetViews>
  <sheetFormatPr defaultRowHeight="14.5" x14ac:dyDescent="0.35"/>
  <cols>
    <col min="1" max="16384" width="8.7265625" style="4"/>
  </cols>
  <sheetData>
    <row r="12" spans="14:14" x14ac:dyDescent="0.35">
      <c r="N12" s="13"/>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3FFF7-DB54-4C05-8491-3DC9C3C32CAD}">
  <dimension ref="A1"/>
  <sheetViews>
    <sheetView showGridLines="0" workbookViewId="0"/>
  </sheetViews>
  <sheetFormatPr defaultRowHeight="14.5" x14ac:dyDescent="0.3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D7298-48EA-44D8-AF3F-20DB87BD044F}">
  <dimension ref="A1"/>
  <sheetViews>
    <sheetView showGridLines="0" workbookViewId="0"/>
  </sheetViews>
  <sheetFormatPr defaultRowHeight="14.5" x14ac:dyDescent="0.3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E4BFD-01A7-43DC-BFE3-3DD44E9D5125}">
  <dimension ref="A1"/>
  <sheetViews>
    <sheetView showGridLines="0" workbookViewId="0"/>
  </sheetViews>
  <sheetFormatPr defaultRowHeight="14.5" x14ac:dyDescent="0.3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40944765-E328-4C79-A8F2-5FBA846A0BBD}">
  <ds:schemaRefs/>
</ds:datastoreItem>
</file>

<file path=customXml/itemProps2.xml><?xml version="1.0" encoding="utf-8"?>
<ds:datastoreItem xmlns:ds="http://schemas.openxmlformats.org/officeDocument/2006/customXml" ds:itemID="{FF0ED68C-F364-4F01-AA9D-8742728D4C5F}">
  <ds:schemaRefs/>
</ds:datastoreItem>
</file>

<file path=customXml/itemProps3.xml><?xml version="1.0" encoding="utf-8"?>
<ds:datastoreItem xmlns:ds="http://schemas.openxmlformats.org/officeDocument/2006/customXml" ds:itemID="{470BF084-DD34-4EED-A55D-83C9DB4ECC3C}">
  <ds:schemaRefs/>
</ds:datastoreItem>
</file>

<file path=customXml/itemProps4.xml><?xml version="1.0" encoding="utf-8"?>
<ds:datastoreItem xmlns:ds="http://schemas.openxmlformats.org/officeDocument/2006/customXml" ds:itemID="{6921F819-BA88-4357-952C-E96A79F79D4D}">
  <ds:schemaRefs/>
</ds:datastoreItem>
</file>

<file path=customXml/itemProps5.xml><?xml version="1.0" encoding="utf-8"?>
<ds:datastoreItem xmlns:ds="http://schemas.openxmlformats.org/officeDocument/2006/customXml" ds:itemID="{F6A8F003-535C-441A-8096-F223A6838C9C}">
  <ds:schemaRefs/>
</ds:datastoreItem>
</file>

<file path=customXml/itemProps6.xml><?xml version="1.0" encoding="utf-8"?>
<ds:datastoreItem xmlns:ds="http://schemas.openxmlformats.org/officeDocument/2006/customXml" ds:itemID="{10FB5513-FE77-48DC-953A-3BA9A01076CC}">
  <ds:schemaRefs/>
</ds:datastoreItem>
</file>

<file path=customXml/itemProps7.xml><?xml version="1.0" encoding="utf-8"?>
<ds:datastoreItem xmlns:ds="http://schemas.openxmlformats.org/officeDocument/2006/customXml" ds:itemID="{3954778D-EF09-4E17-96B9-2D5E85BBE93E}">
  <ds:schemaRefs/>
</ds:datastoreItem>
</file>

<file path=customXml/itemProps8.xml><?xml version="1.0" encoding="utf-8"?>
<ds:datastoreItem xmlns:ds="http://schemas.openxmlformats.org/officeDocument/2006/customXml" ds:itemID="{6E1A3145-EC17-4875-9D4C-B05677CC5F08}">
  <ds:schemaRefs/>
</ds:datastoreItem>
</file>

<file path=customXml/itemProps9.xml><?xml version="1.0" encoding="utf-8"?>
<ds:datastoreItem xmlns:ds="http://schemas.openxmlformats.org/officeDocument/2006/customXml" ds:itemID="{6C775AEF-8BA4-4AFA-8DDE-0A70CE0FA520}">
  <ds:schemaRefs/>
</ds:datastoreItem>
</file>

<file path=customXml/itemProps10.xml><?xml version="1.0" encoding="utf-8"?>
<ds:datastoreItem xmlns:ds="http://schemas.openxmlformats.org/officeDocument/2006/customXml" ds:itemID="{1BD3CCB3-A0B4-4E03-802F-7FDDAE9D8704}">
  <ds:schemaRefs/>
</ds:datastoreItem>
</file>

<file path=customXml/itemProps11.xml><?xml version="1.0" encoding="utf-8"?>
<ds:datastoreItem xmlns:ds="http://schemas.openxmlformats.org/officeDocument/2006/customXml" ds:itemID="{41B9CE6E-4E78-4E19-8840-2B0A7C14A8B1}">
  <ds:schemaRefs/>
</ds:datastoreItem>
</file>

<file path=customXml/itemProps12.xml><?xml version="1.0" encoding="utf-8"?>
<ds:datastoreItem xmlns:ds="http://schemas.openxmlformats.org/officeDocument/2006/customXml" ds:itemID="{236D5A09-B6CE-45D4-BF17-A15D74BDC709}">
  <ds:schemaRefs>
    <ds:schemaRef ds:uri="http://schemas.microsoft.com/DataMashup"/>
  </ds:schemaRefs>
</ds:datastoreItem>
</file>

<file path=customXml/itemProps13.xml><?xml version="1.0" encoding="utf-8"?>
<ds:datastoreItem xmlns:ds="http://schemas.openxmlformats.org/officeDocument/2006/customXml" ds:itemID="{6883328E-5D01-4C0E-B26A-9843C148FD42}">
  <ds:schemaRefs/>
</ds:datastoreItem>
</file>

<file path=customXml/itemProps14.xml><?xml version="1.0" encoding="utf-8"?>
<ds:datastoreItem xmlns:ds="http://schemas.openxmlformats.org/officeDocument/2006/customXml" ds:itemID="{B7BB62B3-BD14-4584-8989-7B23FF7F9D30}">
  <ds:schemaRefs/>
</ds:datastoreItem>
</file>

<file path=customXml/itemProps15.xml><?xml version="1.0" encoding="utf-8"?>
<ds:datastoreItem xmlns:ds="http://schemas.openxmlformats.org/officeDocument/2006/customXml" ds:itemID="{6CB24941-A59F-4E93-8E8D-A9084ED3E933}">
  <ds:schemaRefs/>
</ds:datastoreItem>
</file>

<file path=customXml/itemProps16.xml><?xml version="1.0" encoding="utf-8"?>
<ds:datastoreItem xmlns:ds="http://schemas.openxmlformats.org/officeDocument/2006/customXml" ds:itemID="{4FC95289-0AF9-47DC-A7F6-0E421488D73A}">
  <ds:schemaRefs/>
</ds:datastoreItem>
</file>

<file path=customXml/itemProps17.xml><?xml version="1.0" encoding="utf-8"?>
<ds:datastoreItem xmlns:ds="http://schemas.openxmlformats.org/officeDocument/2006/customXml" ds:itemID="{4F3F4755-D48E-431B-A3F5-9EC95C85D958}">
  <ds:schemaRefs/>
</ds:datastoreItem>
</file>

<file path=customXml/itemProps18.xml><?xml version="1.0" encoding="utf-8"?>
<ds:datastoreItem xmlns:ds="http://schemas.openxmlformats.org/officeDocument/2006/customXml" ds:itemID="{55A8FB49-5D45-41FD-9D8A-62C0B10762E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Satisfaction Score</vt:lpstr>
      <vt:lpstr>Average Wait Time Daily Trend</vt:lpstr>
      <vt:lpstr>Daily ER No of patient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yashbir singh rawat</dc:creator>
  <cp:lastModifiedBy>yashbir singh rawat</cp:lastModifiedBy>
  <dcterms:created xsi:type="dcterms:W3CDTF">2025-07-07T14:12:15Z</dcterms:created>
  <dcterms:modified xsi:type="dcterms:W3CDTF">2025-07-08T05:05:32Z</dcterms:modified>
</cp:coreProperties>
</file>